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ocuments\ING4_S1\Option\"/>
    </mc:Choice>
  </mc:AlternateContent>
  <xr:revisionPtr revIDLastSave="0" documentId="13_ncr:1_{41C67AE1-141D-4FF5-97E6-ECE8C4F48BF5}" xr6:coauthVersionLast="36" xr6:coauthVersionMax="36" xr10:uidLastSave="{00000000-0000-0000-0000-000000000000}"/>
  <bookViews>
    <workbookView xWindow="0" yWindow="0" windowWidth="12756" windowHeight="8292" xr2:uid="{E81874C4-6235-4702-BE58-6D3C8BEFEC9E}"/>
  </bookViews>
  <sheets>
    <sheet name="Feuil1" sheetId="1" r:id="rId1"/>
    <sheet name="Utilisation Formul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2" l="1"/>
  <c r="C16" i="2"/>
  <c r="D16" i="2"/>
  <c r="E16" i="2"/>
  <c r="F16" i="2"/>
  <c r="G16" i="2"/>
  <c r="H16" i="2"/>
  <c r="I16" i="2"/>
  <c r="J16" i="2"/>
  <c r="K16" i="2"/>
  <c r="L16" i="2"/>
  <c r="D17" i="2"/>
  <c r="E17" i="2"/>
  <c r="F17" i="2"/>
  <c r="G17" i="2"/>
  <c r="H17" i="2"/>
  <c r="I17" i="2"/>
  <c r="J17" i="2"/>
  <c r="K17" i="2"/>
  <c r="L17" i="2"/>
  <c r="D18" i="2"/>
  <c r="E18" i="2"/>
  <c r="F18" i="2"/>
  <c r="G18" i="2"/>
  <c r="H18" i="2"/>
  <c r="I18" i="2"/>
  <c r="J18" i="2"/>
  <c r="K18" i="2"/>
  <c r="L18" i="2"/>
  <c r="D19" i="2"/>
  <c r="E19" i="2"/>
  <c r="F19" i="2"/>
  <c r="G19" i="2"/>
  <c r="H19" i="2"/>
  <c r="I19" i="2"/>
  <c r="J19" i="2"/>
  <c r="K19" i="2"/>
  <c r="L19" i="2"/>
  <c r="D20" i="2"/>
  <c r="E20" i="2"/>
  <c r="F20" i="2"/>
  <c r="G20" i="2"/>
  <c r="H20" i="2"/>
  <c r="I20" i="2"/>
  <c r="J20" i="2"/>
  <c r="K20" i="2"/>
  <c r="L20" i="2"/>
  <c r="D21" i="2"/>
  <c r="E21" i="2"/>
  <c r="F21" i="2"/>
  <c r="G21" i="2"/>
  <c r="H21" i="2"/>
  <c r="I21" i="2"/>
  <c r="J21" i="2"/>
  <c r="K21" i="2"/>
  <c r="L21" i="2"/>
  <c r="C17" i="2"/>
  <c r="C18" i="2"/>
  <c r="C19" i="2"/>
  <c r="C20" i="2"/>
  <c r="C21" i="2"/>
  <c r="J15" i="2"/>
  <c r="K15" i="2"/>
  <c r="L15" i="2"/>
  <c r="E15" i="2"/>
  <c r="F15" i="2"/>
  <c r="G15" i="2"/>
  <c r="H15" i="2"/>
  <c r="I15" i="2"/>
  <c r="D15" i="2"/>
  <c r="C11" i="2" l="1"/>
  <c r="U16" i="2" l="1"/>
  <c r="T16" i="2"/>
  <c r="S16" i="2"/>
  <c r="P16" i="2"/>
  <c r="Q16" i="2"/>
  <c r="R16" i="2"/>
  <c r="O16" i="2"/>
  <c r="C12" i="2"/>
  <c r="D27" i="1"/>
  <c r="D28" i="1"/>
  <c r="D29" i="1"/>
  <c r="D30" i="1"/>
  <c r="D31" i="1"/>
  <c r="D32" i="1" s="1"/>
  <c r="D33" i="1" s="1"/>
  <c r="D34" i="1" s="1"/>
  <c r="D26" i="1"/>
</calcChain>
</file>

<file path=xl/sharedStrings.xml><?xml version="1.0" encoding="utf-8"?>
<sst xmlns="http://schemas.openxmlformats.org/spreadsheetml/2006/main" count="24" uniqueCount="23">
  <si>
    <t>Put</t>
  </si>
  <si>
    <t>Option standard</t>
  </si>
  <si>
    <t>C</t>
  </si>
  <si>
    <t>Libellé</t>
  </si>
  <si>
    <t>Code</t>
  </si>
  <si>
    <t>Valeurs</t>
  </si>
  <si>
    <t>taux sans risque</t>
  </si>
  <si>
    <t>r</t>
  </si>
  <si>
    <t>temps restant</t>
  </si>
  <si>
    <t>Strike Price</t>
  </si>
  <si>
    <t>K</t>
  </si>
  <si>
    <t>T</t>
  </si>
  <si>
    <t>sigma</t>
  </si>
  <si>
    <t xml:space="preserve">S </t>
  </si>
  <si>
    <t>Prix Action</t>
  </si>
  <si>
    <t xml:space="preserve">Volatilité prix </t>
  </si>
  <si>
    <t>Formule Finale</t>
  </si>
  <si>
    <t>D1</t>
  </si>
  <si>
    <t>D2</t>
  </si>
  <si>
    <t>Valeur</t>
  </si>
  <si>
    <t>volatilité/temps</t>
  </si>
  <si>
    <t>Prix action</t>
  </si>
  <si>
    <t>Prix 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</si>
</sst>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.00\ [$€-40C]_-;\-* #,##0.00\ [$€-40C]_-;_-* &quot;-&quot;??\ [$€-40C]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44" fontId="0" fillId="0" borderId="0" xfId="1" applyFont="1"/>
    <xf numFmtId="0" fontId="0" fillId="0" borderId="1" xfId="0" applyBorder="1"/>
    <xf numFmtId="44" fontId="0" fillId="0" borderId="1" xfId="0" applyNumberFormat="1" applyBorder="1"/>
    <xf numFmtId="0" fontId="0" fillId="2" borderId="0" xfId="0" applyFill="1" applyAlignment="1">
      <alignment horizontal="center"/>
    </xf>
    <xf numFmtId="0" fontId="0" fillId="0" borderId="1" xfId="0" applyFill="1" applyBorder="1"/>
  </cellXfs>
  <cellStyles count="2">
    <cellStyle name="Monétaire" xfId="1" builtinId="4"/>
    <cellStyle name="Normal" xfId="0" builtinId="0"/>
  </cellStyles>
  <dxfs count="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Prix</a:t>
            </a:r>
            <a:r>
              <a:rPr lang="fr-FR" baseline="0"/>
              <a:t> action selon temps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'Utilisation Formule'!$C$16:$L$16</c:f>
              <c:numCache>
                <c:formatCode>_("€"* #,##0.00_);_("€"* \(#,##0.00\);_("€"* "-"??_);_(@_)</c:formatCode>
                <c:ptCount val="10"/>
                <c:pt idx="0">
                  <c:v>9.6332046724321714</c:v>
                </c:pt>
                <c:pt idx="1">
                  <c:v>14.040445286583846</c:v>
                </c:pt>
                <c:pt idx="2">
                  <c:v>18.232742239619512</c:v>
                </c:pt>
                <c:pt idx="3">
                  <c:v>22.220578457591728</c:v>
                </c:pt>
                <c:pt idx="4">
                  <c:v>26.013925608216539</c:v>
                </c:pt>
                <c:pt idx="5">
                  <c:v>29.622269035236798</c:v>
                </c:pt>
                <c:pt idx="6">
                  <c:v>33.054631476722221</c:v>
                </c:pt>
                <c:pt idx="7">
                  <c:v>36.319595626614266</c:v>
                </c:pt>
                <c:pt idx="8">
                  <c:v>39.425325595931533</c:v>
                </c:pt>
                <c:pt idx="9">
                  <c:v>42.379587327299824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3B-40AF-9201-3F2CCE3FFBE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'Utilisation Formule'!$C$17:$L$17</c:f>
              <c:numCache>
                <c:formatCode>_("€"* #,##0.00_);_("€"* \(#,##0.00\);_("€"* "-"??_);_(@_)</c:formatCode>
                <c:ptCount val="10"/>
                <c:pt idx="0">
                  <c:v>14.040445286583846</c:v>
                </c:pt>
                <c:pt idx="1">
                  <c:v>22.220578457591728</c:v>
                </c:pt>
                <c:pt idx="2">
                  <c:v>29.622269035236798</c:v>
                </c:pt>
                <c:pt idx="3">
                  <c:v>36.319595626614266</c:v>
                </c:pt>
                <c:pt idx="4">
                  <c:v>42.379587327299824</c:v>
                </c:pt>
                <c:pt idx="5">
                  <c:v>47.862894571067493</c:v>
                </c:pt>
                <c:pt idx="6">
                  <c:v>52.824396139816102</c:v>
                </c:pt>
                <c:pt idx="7">
                  <c:v>57.313748408863951</c:v>
                </c:pt>
                <c:pt idx="8">
                  <c:v>61.375882324643086</c:v>
                </c:pt>
                <c:pt idx="9">
                  <c:v>65.051453088712975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3B-40AF-9201-3F2CCE3FFBE7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'Utilisation Formule'!$C$18:$L$18</c:f>
              <c:numCache>
                <c:formatCode>_("€"* #,##0.00_);_("€"* \(#,##0.00\);_("€"* "-"??_);_(@_)</c:formatCode>
                <c:ptCount val="10"/>
                <c:pt idx="0">
                  <c:v>18.232742239619512</c:v>
                </c:pt>
                <c:pt idx="1">
                  <c:v>29.622269035236798</c:v>
                </c:pt>
                <c:pt idx="2">
                  <c:v>39.425325595931533</c:v>
                </c:pt>
                <c:pt idx="3">
                  <c:v>47.862894571067493</c:v>
                </c:pt>
                <c:pt idx="4">
                  <c:v>55.125177489603601</c:v>
                </c:pt>
                <c:pt idx="5">
                  <c:v>61.375882324643079</c:v>
                </c:pt>
                <c:pt idx="6">
                  <c:v>66.755913834440236</c:v>
                </c:pt>
                <c:pt idx="7">
                  <c:v>71.386549868340794</c:v>
                </c:pt>
                <c:pt idx="8">
                  <c:v>75.372175238640295</c:v>
                </c:pt>
                <c:pt idx="9">
                  <c:v>78.802634785899158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3B-40AF-9201-3F2CCE3FFBE7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'Utilisation Formule'!$C$19:$L$19</c:f>
              <c:numCache>
                <c:formatCode>_("€"* #,##0.00_);_("€"* \(#,##0.00\);_("€"* "-"??_);_(@_)</c:formatCode>
                <c:ptCount val="10"/>
                <c:pt idx="0">
                  <c:v>22.220578457591728</c:v>
                </c:pt>
                <c:pt idx="1">
                  <c:v>36.319595626614266</c:v>
                </c:pt>
                <c:pt idx="2">
                  <c:v>47.862894571067493</c:v>
                </c:pt>
                <c:pt idx="3">
                  <c:v>57.313748408863951</c:v>
                </c:pt>
                <c:pt idx="4">
                  <c:v>65.051453088712975</c:v>
                </c:pt>
                <c:pt idx="5">
                  <c:v>71.386549868340808</c:v>
                </c:pt>
                <c:pt idx="6">
                  <c:v>76.573288425547389</c:v>
                </c:pt>
                <c:pt idx="7">
                  <c:v>80.819830790507737</c:v>
                </c:pt>
                <c:pt idx="8">
                  <c:v>84.296605618949286</c:v>
                </c:pt>
                <c:pt idx="9">
                  <c:v>87.143148092521798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B3B-40AF-9201-3F2CCE3FFBE7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'Utilisation Formule'!$C$20:$L$20</c:f>
              <c:numCache>
                <c:formatCode>_("€"* #,##0.00_);_("€"* \(#,##0.00\);_("€"* "-"??_);_(@_)</c:formatCode>
                <c:ptCount val="10"/>
                <c:pt idx="0">
                  <c:v>26.013925608216539</c:v>
                </c:pt>
                <c:pt idx="1">
                  <c:v>42.379587327299824</c:v>
                </c:pt>
                <c:pt idx="2">
                  <c:v>55.125177489603601</c:v>
                </c:pt>
                <c:pt idx="3">
                  <c:v>65.051453088712975</c:v>
                </c:pt>
                <c:pt idx="4">
                  <c:v>72.782044298281946</c:v>
                </c:pt>
                <c:pt idx="5">
                  <c:v>78.802634785899158</c:v>
                </c:pt>
                <c:pt idx="6">
                  <c:v>83.491475372207717</c:v>
                </c:pt>
                <c:pt idx="7">
                  <c:v>87.143148092521798</c:v>
                </c:pt>
                <c:pt idx="8">
                  <c:v>89.987073666622891</c:v>
                </c:pt>
                <c:pt idx="9">
                  <c:v>92.20192513072962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B3B-40AF-9201-3F2CCE3FFBE7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'Utilisation Formule'!$C$21:$L$21</c:f>
              <c:numCache>
                <c:formatCode>_("€"* #,##0.00_);_("€"* \(#,##0.00\);_("€"* "-"??_);_(@_)</c:formatCode>
                <c:ptCount val="10"/>
                <c:pt idx="0">
                  <c:v>29.622269035236798</c:v>
                </c:pt>
                <c:pt idx="1">
                  <c:v>47.862894571067493</c:v>
                </c:pt>
                <c:pt idx="2">
                  <c:v>61.375882324643079</c:v>
                </c:pt>
                <c:pt idx="3">
                  <c:v>71.386549868340794</c:v>
                </c:pt>
                <c:pt idx="4">
                  <c:v>78.802634785899158</c:v>
                </c:pt>
                <c:pt idx="5">
                  <c:v>84.296605618949272</c:v>
                </c:pt>
                <c:pt idx="6">
                  <c:v>88.366639315966722</c:v>
                </c:pt>
                <c:pt idx="7">
                  <c:v>91.381794437505818</c:v>
                </c:pt>
                <c:pt idx="8">
                  <c:v>93.615476289723773</c:v>
                </c:pt>
                <c:pt idx="9">
                  <c:v>95.270228505052927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B3B-40AF-9201-3F2CCE3FF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6578479"/>
        <c:axId val="1254274143"/>
      </c:lineChart>
      <c:catAx>
        <c:axId val="12565784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54274143"/>
        <c:crosses val="autoZero"/>
        <c:auto val="1"/>
        <c:lblAlgn val="ctr"/>
        <c:lblOffset val="100"/>
        <c:noMultiLvlLbl val="0"/>
      </c:catAx>
      <c:valAx>
        <c:axId val="125427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56578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Prix call en fonction Prix action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'Utilisation Formule'!$O$15:$S$15</c:f>
              <c:numCache>
                <c:formatCode>General</c:formatCode>
                <c:ptCount val="5"/>
                <c:pt idx="0">
                  <c:v>90</c:v>
                </c:pt>
                <c:pt idx="1">
                  <c:v>95</c:v>
                </c:pt>
                <c:pt idx="2">
                  <c:v>100</c:v>
                </c:pt>
                <c:pt idx="3">
                  <c:v>105</c:v>
                </c:pt>
                <c:pt idx="4">
                  <c:v>110</c:v>
                </c:pt>
              </c:numCache>
            </c:numRef>
          </c:cat>
          <c:val>
            <c:numRef>
              <c:f>'Utilisation Formule'!$O$16:$S$16</c:f>
              <c:numCache>
                <c:formatCode>_("€"* #,##0.00_);_("€"* \(#,##0.00\);_("€"* "-"??_);_(@_)</c:formatCode>
                <c:ptCount val="5"/>
                <c:pt idx="0">
                  <c:v>17.237178834818131</c:v>
                </c:pt>
                <c:pt idx="1">
                  <c:v>20.610062690612395</c:v>
                </c:pt>
                <c:pt idx="2">
                  <c:v>23.982946546406652</c:v>
                </c:pt>
                <c:pt idx="3">
                  <c:v>27.355830402200908</c:v>
                </c:pt>
                <c:pt idx="4">
                  <c:v>30.728714257995165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69-481B-9AAD-134374A44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4455711"/>
        <c:axId val="1916624559"/>
      </c:lineChart>
      <c:catAx>
        <c:axId val="1254455711"/>
        <c:scaling>
          <c:orientation val="minMax"/>
        </c:scaling>
        <c:delete val="0"/>
        <c:axPos val="b"/>
        <c:numFmt formatCode="#,##0.00\ &quot;€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16624559"/>
        <c:crosses val="autoZero"/>
        <c:auto val="1"/>
        <c:lblAlgn val="ctr"/>
        <c:lblOffset val="100"/>
        <c:noMultiLvlLbl val="0"/>
      </c:catAx>
      <c:valAx>
        <c:axId val="191662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54455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640080</xdr:colOff>
      <xdr:row>3</xdr:row>
      <xdr:rowOff>15240</xdr:rowOff>
    </xdr:from>
    <xdr:to>
      <xdr:col>15</xdr:col>
      <xdr:colOff>582442</xdr:colOff>
      <xdr:row>22</xdr:row>
      <xdr:rowOff>16710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88BF1841-9663-4EF7-B03E-DD44D5B33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64880" y="563880"/>
          <a:ext cx="3904762" cy="34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342900</xdr:colOff>
      <xdr:row>2</xdr:row>
      <xdr:rowOff>106680</xdr:rowOff>
    </xdr:from>
    <xdr:to>
      <xdr:col>7</xdr:col>
      <xdr:colOff>255921</xdr:colOff>
      <xdr:row>22</xdr:row>
      <xdr:rowOff>97664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4972C6FF-20B5-4678-8EFF-557BF7F88D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5380" y="472440"/>
          <a:ext cx="4667901" cy="36485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167640</xdr:rowOff>
    </xdr:from>
    <xdr:to>
      <xdr:col>11</xdr:col>
      <xdr:colOff>734842</xdr:colOff>
      <xdr:row>11</xdr:row>
      <xdr:rowOff>60960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44857A1D-DEEE-4E00-A1CB-EAFB8689D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8820" y="167640"/>
          <a:ext cx="3904762" cy="1905000"/>
        </a:xfrm>
        <a:prstGeom prst="rect">
          <a:avLst/>
        </a:prstGeom>
      </xdr:spPr>
    </xdr:pic>
    <xdr:clientData/>
  </xdr:twoCellAnchor>
  <xdr:twoCellAnchor>
    <xdr:from>
      <xdr:col>3</xdr:col>
      <xdr:colOff>670560</xdr:colOff>
      <xdr:row>23</xdr:row>
      <xdr:rowOff>91440</xdr:rowOff>
    </xdr:from>
    <xdr:to>
      <xdr:col>9</xdr:col>
      <xdr:colOff>396240</xdr:colOff>
      <xdr:row>38</xdr:row>
      <xdr:rowOff>91440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9A97F7AA-581E-4BC9-A1B8-7E5AD042FD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83820</xdr:colOff>
      <xdr:row>17</xdr:row>
      <xdr:rowOff>144780</xdr:rowOff>
    </xdr:from>
    <xdr:to>
      <xdr:col>18</xdr:col>
      <xdr:colOff>693420</xdr:colOff>
      <xdr:row>32</xdr:row>
      <xdr:rowOff>144780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D106CDF9-AE0F-4361-9408-AF67B03360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80BA77-4048-4AE7-95F7-E2EFE284DE29}" name="Tableau1" displayName="Tableau1" ref="B2:D7" totalsRowShown="0">
  <autoFilter ref="B2:D7" xr:uid="{E27A65AE-B863-44E8-A5D8-7FABF46AC9C3}"/>
  <tableColumns count="3">
    <tableColumn id="1" xr3:uid="{1B2E5AC1-E9E7-4D0E-9114-2B14A043D7E1}" name="Libellé"/>
    <tableColumn id="2" xr3:uid="{6A6F8771-5F27-40A9-B9F2-86867335296D}" name="Code" dataDxfId="1"/>
    <tableColumn id="3" xr3:uid="{46F243E8-6D8D-4FFE-8F05-AC351B14602D}" name="Valeurs" dataDxfId="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AB9C7F-EB80-4041-9760-08FA46B13417}" name="Tableau2" displayName="Tableau2" ref="B9:C12" totalsRowShown="0">
  <autoFilter ref="B9:C12" xr:uid="{A094DC8D-A9CF-4A94-A2A2-506C4F2C9C33}"/>
  <tableColumns count="2">
    <tableColumn id="1" xr3:uid="{5DA32798-FF10-47C5-AB79-DFAE77C869B7}" name="Libellé"/>
    <tableColumn id="2" xr3:uid="{8E782E4D-4BD7-4F09-BF91-9C78B4BBCC03}" name="Valeur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31C5B-8DBE-48A2-BC30-EAE4D8EE01CB}">
  <dimension ref="D2:M34"/>
  <sheetViews>
    <sheetView tabSelected="1" workbookViewId="0">
      <selection activeCell="F25" sqref="F25"/>
    </sheetView>
  </sheetViews>
  <sheetFormatPr baseColWidth="10" defaultRowHeight="14.4" x14ac:dyDescent="0.3"/>
  <sheetData>
    <row r="2" spans="4:13" x14ac:dyDescent="0.3">
      <c r="D2" t="s">
        <v>0</v>
      </c>
    </row>
    <row r="3" spans="4:13" x14ac:dyDescent="0.3">
      <c r="M3" t="s">
        <v>1</v>
      </c>
    </row>
    <row r="25" spans="4:7" x14ac:dyDescent="0.3">
      <c r="D25">
        <v>1</v>
      </c>
      <c r="E25">
        <v>90</v>
      </c>
      <c r="F25">
        <v>0.1</v>
      </c>
      <c r="G25">
        <v>0.01</v>
      </c>
    </row>
    <row r="26" spans="4:7" x14ac:dyDescent="0.3">
      <c r="D26">
        <f>D25+1</f>
        <v>2</v>
      </c>
      <c r="E26">
        <v>95</v>
      </c>
      <c r="F26">
        <v>0.2</v>
      </c>
      <c r="G26">
        <v>0.05</v>
      </c>
    </row>
    <row r="27" spans="4:7" x14ac:dyDescent="0.3">
      <c r="D27">
        <f t="shared" ref="D27:D34" si="0">D26+1</f>
        <v>3</v>
      </c>
      <c r="E27">
        <v>100</v>
      </c>
      <c r="F27">
        <v>0.3</v>
      </c>
      <c r="G27">
        <v>0.1</v>
      </c>
    </row>
    <row r="28" spans="4:7" x14ac:dyDescent="0.3">
      <c r="D28">
        <f t="shared" si="0"/>
        <v>4</v>
      </c>
      <c r="E28">
        <v>105</v>
      </c>
      <c r="F28">
        <v>0.4</v>
      </c>
      <c r="G28">
        <v>0.15</v>
      </c>
    </row>
    <row r="29" spans="4:7" x14ac:dyDescent="0.3">
      <c r="D29">
        <f t="shared" si="0"/>
        <v>5</v>
      </c>
      <c r="E29">
        <v>110</v>
      </c>
      <c r="F29">
        <v>0.5</v>
      </c>
      <c r="G29">
        <v>0.2</v>
      </c>
    </row>
    <row r="30" spans="4:7" x14ac:dyDescent="0.3">
      <c r="D30">
        <f t="shared" si="0"/>
        <v>6</v>
      </c>
    </row>
    <row r="31" spans="4:7" x14ac:dyDescent="0.3">
      <c r="D31">
        <f t="shared" si="0"/>
        <v>7</v>
      </c>
    </row>
    <row r="32" spans="4:7" x14ac:dyDescent="0.3">
      <c r="D32">
        <f t="shared" si="0"/>
        <v>8</v>
      </c>
    </row>
    <row r="33" spans="4:4" x14ac:dyDescent="0.3">
      <c r="D33">
        <f t="shared" si="0"/>
        <v>9</v>
      </c>
    </row>
    <row r="34" spans="4:4" x14ac:dyDescent="0.3">
      <c r="D34">
        <f t="shared" si="0"/>
        <v>10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3E724-0301-4969-9815-87156DA1B921}">
  <dimension ref="B2:U21"/>
  <sheetViews>
    <sheetView workbookViewId="0">
      <selection activeCell="E9" sqref="E9"/>
    </sheetView>
  </sheetViews>
  <sheetFormatPr baseColWidth="10" defaultRowHeight="14.4" x14ac:dyDescent="0.3"/>
  <cols>
    <col min="2" max="2" width="13.88671875" bestFit="1" customWidth="1"/>
    <col min="7" max="7" width="12.88671875" bestFit="1" customWidth="1"/>
  </cols>
  <sheetData>
    <row r="2" spans="2:21" x14ac:dyDescent="0.3">
      <c r="B2" t="s">
        <v>3</v>
      </c>
      <c r="C2" t="s">
        <v>4</v>
      </c>
      <c r="D2" t="s">
        <v>5</v>
      </c>
    </row>
    <row r="3" spans="2:21" x14ac:dyDescent="0.3">
      <c r="B3" t="s">
        <v>6</v>
      </c>
      <c r="C3" s="1" t="s">
        <v>7</v>
      </c>
      <c r="D3" s="6">
        <v>0.05</v>
      </c>
      <c r="G3" t="s">
        <v>16</v>
      </c>
    </row>
    <row r="4" spans="2:21" x14ac:dyDescent="0.3">
      <c r="B4" t="s">
        <v>8</v>
      </c>
      <c r="C4" s="1" t="s">
        <v>11</v>
      </c>
      <c r="D4" s="1">
        <v>1</v>
      </c>
    </row>
    <row r="5" spans="2:21" x14ac:dyDescent="0.3">
      <c r="B5" t="s">
        <v>9</v>
      </c>
      <c r="C5" s="1" t="s">
        <v>10</v>
      </c>
      <c r="D5" s="6">
        <v>95</v>
      </c>
    </row>
    <row r="6" spans="2:21" x14ac:dyDescent="0.3">
      <c r="B6" t="s">
        <v>14</v>
      </c>
      <c r="C6" s="1" t="s">
        <v>13</v>
      </c>
      <c r="D6" s="6">
        <v>100</v>
      </c>
    </row>
    <row r="7" spans="2:21" x14ac:dyDescent="0.3">
      <c r="B7" t="s">
        <v>15</v>
      </c>
      <c r="C7" s="1" t="s">
        <v>12</v>
      </c>
      <c r="D7" s="1">
        <v>0.5</v>
      </c>
    </row>
    <row r="9" spans="2:21" x14ac:dyDescent="0.3">
      <c r="B9" t="s">
        <v>3</v>
      </c>
      <c r="C9" t="s">
        <v>19</v>
      </c>
    </row>
    <row r="10" spans="2:21" x14ac:dyDescent="0.3">
      <c r="B10" t="s">
        <v>17</v>
      </c>
      <c r="C10" s="3">
        <f>(LN($D$6/$D$5) + ($D$3 + ($D$7^2)/2) * $D$4) / ($D$7 * SQRT($D$4))</f>
        <v>0.45258658877510094</v>
      </c>
    </row>
    <row r="11" spans="2:21" x14ac:dyDescent="0.3">
      <c r="B11" t="s">
        <v>18</v>
      </c>
      <c r="C11" s="3">
        <f>$C$10 - ($D$7 * SQRT($D$4))</f>
        <v>-4.741341122489906E-2</v>
      </c>
    </row>
    <row r="12" spans="2:21" x14ac:dyDescent="0.3">
      <c r="B12" t="s">
        <v>2</v>
      </c>
      <c r="C12" s="2">
        <f>$D$6*NORMSDIST($C$10)-$D$5*EXP(-$D$3*$D$4)*NORMSDIST($C$11)</f>
        <v>23.982946546406652</v>
      </c>
    </row>
    <row r="15" spans="2:21" x14ac:dyDescent="0.3">
      <c r="B15" s="4" t="s">
        <v>20</v>
      </c>
      <c r="C15" s="4">
        <v>1</v>
      </c>
      <c r="D15" s="4">
        <f>C15+1</f>
        <v>2</v>
      </c>
      <c r="E15" s="4">
        <f t="shared" ref="E15:L15" si="0">D15+1</f>
        <v>3</v>
      </c>
      <c r="F15" s="4">
        <f t="shared" si="0"/>
        <v>4</v>
      </c>
      <c r="G15" s="4">
        <f t="shared" si="0"/>
        <v>5</v>
      </c>
      <c r="H15" s="4">
        <f t="shared" si="0"/>
        <v>6</v>
      </c>
      <c r="I15" s="4">
        <f t="shared" si="0"/>
        <v>7</v>
      </c>
      <c r="J15" s="4">
        <f>I15+1</f>
        <v>8</v>
      </c>
      <c r="K15" s="4">
        <f t="shared" si="0"/>
        <v>9</v>
      </c>
      <c r="L15" s="4">
        <f t="shared" si="0"/>
        <v>10</v>
      </c>
      <c r="N15" s="4" t="s">
        <v>21</v>
      </c>
      <c r="O15" s="4">
        <v>90</v>
      </c>
      <c r="P15" s="4">
        <v>95</v>
      </c>
      <c r="Q15" s="4">
        <v>100</v>
      </c>
      <c r="R15" s="4">
        <v>105</v>
      </c>
      <c r="S15" s="4">
        <v>110</v>
      </c>
      <c r="T15" s="7">
        <v>120</v>
      </c>
      <c r="U15" s="7">
        <v>130</v>
      </c>
    </row>
    <row r="16" spans="2:21" x14ac:dyDescent="0.3">
      <c r="B16" s="4">
        <v>0.05</v>
      </c>
      <c r="C16" s="5">
        <f>$D$6*NORMDIST((LN($D$5)+($D$3+($B16^2/2))*C$15)/$B16*SQRT(C$15),0,1,TRUE)-$D$5*EXP(-$B16*C$15)*NORMDIST((LN($D$5)+($D$3+($B16^2/2))*C$15)/$B16*SQRT(C$15)-($B16*SQRT(C$15)),0,1,TRUE)</f>
        <v>9.6332046724321714</v>
      </c>
      <c r="D16" s="5">
        <f t="shared" ref="D16:L16" si="1">$D$6*NORMDIST((LN($D$5)+($D$3+($B16^2/2))*D$15)/$B16*SQRT(D$15),0,1,TRUE)-$D$5*EXP(-$B16*D$15)*NORMDIST((LN($D$5)+($D$3+($B16^2/2))*D$15)/$B16*SQRT(D$15)-($B16*SQRT(D$15)),0,1,TRUE)</f>
        <v>14.040445286583846</v>
      </c>
      <c r="E16" s="5">
        <f t="shared" si="1"/>
        <v>18.232742239619512</v>
      </c>
      <c r="F16" s="5">
        <f t="shared" si="1"/>
        <v>22.220578457591728</v>
      </c>
      <c r="G16" s="5">
        <f t="shared" si="1"/>
        <v>26.013925608216539</v>
      </c>
      <c r="H16" s="5">
        <f t="shared" si="1"/>
        <v>29.622269035236798</v>
      </c>
      <c r="I16" s="5">
        <f t="shared" si="1"/>
        <v>33.054631476722221</v>
      </c>
      <c r="J16" s="5">
        <f t="shared" si="1"/>
        <v>36.319595626614266</v>
      </c>
      <c r="K16" s="5">
        <f t="shared" si="1"/>
        <v>39.425325595931533</v>
      </c>
      <c r="L16" s="5">
        <f t="shared" si="1"/>
        <v>42.379587327299824</v>
      </c>
      <c r="N16" s="4" t="s">
        <v>22</v>
      </c>
      <c r="O16" s="5">
        <f>O$15*NORMSDIST($C$10)-$D$5*EXP(-$D$3*$D$4)*NORMSDIST($C$11)</f>
        <v>17.237178834818131</v>
      </c>
      <c r="P16" s="5">
        <f t="shared" ref="P16:U16" si="2">P$15*NORMSDIST($C$10)-$D$5*EXP(-$D$3*$D$4)*NORMSDIST($C$11)</f>
        <v>20.610062690612395</v>
      </c>
      <c r="Q16" s="5">
        <f t="shared" si="2"/>
        <v>23.982946546406652</v>
      </c>
      <c r="R16" s="5">
        <f t="shared" si="2"/>
        <v>27.355830402200908</v>
      </c>
      <c r="S16" s="5">
        <f t="shared" si="2"/>
        <v>30.728714257995165</v>
      </c>
      <c r="T16" s="5">
        <f t="shared" si="2"/>
        <v>37.474481969583678</v>
      </c>
      <c r="U16" s="5">
        <f t="shared" si="2"/>
        <v>44.220249681172206</v>
      </c>
    </row>
    <row r="17" spans="2:12" x14ac:dyDescent="0.3">
      <c r="B17" s="4">
        <v>0.1</v>
      </c>
      <c r="C17" s="5">
        <f t="shared" ref="C17:L21" si="3">$D$6*NORMDIST((LN($D$5)+($D$3+($B17^2/2))*C$15)/$B17*SQRT(C$15),0,1,TRUE)-$D$5*EXP(-$B17*C$15)*NORMDIST((LN($D$5)+($D$3+($B17^2/2))*C$15)/$B17*SQRT(C$15)-($B17*SQRT(C$15)),0,1,TRUE)</f>
        <v>14.040445286583846</v>
      </c>
      <c r="D17" s="5">
        <f t="shared" si="3"/>
        <v>22.220578457591728</v>
      </c>
      <c r="E17" s="5">
        <f t="shared" si="3"/>
        <v>29.622269035236798</v>
      </c>
      <c r="F17" s="5">
        <f t="shared" si="3"/>
        <v>36.319595626614266</v>
      </c>
      <c r="G17" s="5">
        <f t="shared" si="3"/>
        <v>42.379587327299824</v>
      </c>
      <c r="H17" s="5">
        <f t="shared" si="3"/>
        <v>47.862894571067493</v>
      </c>
      <c r="I17" s="5">
        <f t="shared" si="3"/>
        <v>52.824396139816102</v>
      </c>
      <c r="J17" s="5">
        <f t="shared" si="3"/>
        <v>57.313748408863951</v>
      </c>
      <c r="K17" s="5">
        <f t="shared" si="3"/>
        <v>61.375882324643086</v>
      </c>
      <c r="L17" s="5">
        <f t="shared" si="3"/>
        <v>65.051453088712975</v>
      </c>
    </row>
    <row r="18" spans="2:12" x14ac:dyDescent="0.3">
      <c r="B18" s="4">
        <v>0.15</v>
      </c>
      <c r="C18" s="5">
        <f t="shared" si="3"/>
        <v>18.232742239619512</v>
      </c>
      <c r="D18" s="5">
        <f t="shared" si="3"/>
        <v>29.622269035236798</v>
      </c>
      <c r="E18" s="5">
        <f t="shared" si="3"/>
        <v>39.425325595931533</v>
      </c>
      <c r="F18" s="5">
        <f t="shared" si="3"/>
        <v>47.862894571067493</v>
      </c>
      <c r="G18" s="5">
        <f t="shared" si="3"/>
        <v>55.125177489603601</v>
      </c>
      <c r="H18" s="5">
        <f t="shared" si="3"/>
        <v>61.375882324643079</v>
      </c>
      <c r="I18" s="5">
        <f t="shared" si="3"/>
        <v>66.755913834440236</v>
      </c>
      <c r="J18" s="5">
        <f t="shared" si="3"/>
        <v>71.386549868340794</v>
      </c>
      <c r="K18" s="5">
        <f t="shared" si="3"/>
        <v>75.372175238640295</v>
      </c>
      <c r="L18" s="5">
        <f t="shared" si="3"/>
        <v>78.802634785899158</v>
      </c>
    </row>
    <row r="19" spans="2:12" x14ac:dyDescent="0.3">
      <c r="B19" s="4">
        <v>0.2</v>
      </c>
      <c r="C19" s="5">
        <f t="shared" si="3"/>
        <v>22.220578457591728</v>
      </c>
      <c r="D19" s="5">
        <f t="shared" si="3"/>
        <v>36.319595626614266</v>
      </c>
      <c r="E19" s="5">
        <f t="shared" si="3"/>
        <v>47.862894571067493</v>
      </c>
      <c r="F19" s="5">
        <f t="shared" si="3"/>
        <v>57.313748408863951</v>
      </c>
      <c r="G19" s="5">
        <f t="shared" si="3"/>
        <v>65.051453088712975</v>
      </c>
      <c r="H19" s="5">
        <f t="shared" si="3"/>
        <v>71.386549868340808</v>
      </c>
      <c r="I19" s="5">
        <f t="shared" si="3"/>
        <v>76.573288425547389</v>
      </c>
      <c r="J19" s="5">
        <f t="shared" si="3"/>
        <v>80.819830790507737</v>
      </c>
      <c r="K19" s="5">
        <f t="shared" si="3"/>
        <v>84.296605618949286</v>
      </c>
      <c r="L19" s="5">
        <f t="shared" si="3"/>
        <v>87.143148092521798</v>
      </c>
    </row>
    <row r="20" spans="2:12" x14ac:dyDescent="0.3">
      <c r="B20" s="4">
        <v>0.25</v>
      </c>
      <c r="C20" s="5">
        <f t="shared" si="3"/>
        <v>26.013925608216539</v>
      </c>
      <c r="D20" s="5">
        <f t="shared" si="3"/>
        <v>42.379587327299824</v>
      </c>
      <c r="E20" s="5">
        <f t="shared" si="3"/>
        <v>55.125177489603601</v>
      </c>
      <c r="F20" s="5">
        <f t="shared" si="3"/>
        <v>65.051453088712975</v>
      </c>
      <c r="G20" s="5">
        <f t="shared" si="3"/>
        <v>72.782044298281946</v>
      </c>
      <c r="H20" s="5">
        <f t="shared" si="3"/>
        <v>78.802634785899158</v>
      </c>
      <c r="I20" s="5">
        <f t="shared" si="3"/>
        <v>83.491475372207717</v>
      </c>
      <c r="J20" s="5">
        <f t="shared" si="3"/>
        <v>87.143148092521798</v>
      </c>
      <c r="K20" s="5">
        <f t="shared" si="3"/>
        <v>89.987073666622891</v>
      </c>
      <c r="L20" s="5">
        <f t="shared" si="3"/>
        <v>92.20192513072962</v>
      </c>
    </row>
    <row r="21" spans="2:12" x14ac:dyDescent="0.3">
      <c r="B21" s="4">
        <v>0.3</v>
      </c>
      <c r="C21" s="5">
        <f t="shared" si="3"/>
        <v>29.622269035236798</v>
      </c>
      <c r="D21" s="5">
        <f t="shared" si="3"/>
        <v>47.862894571067493</v>
      </c>
      <c r="E21" s="5">
        <f t="shared" si="3"/>
        <v>61.375882324643079</v>
      </c>
      <c r="F21" s="5">
        <f t="shared" si="3"/>
        <v>71.386549868340794</v>
      </c>
      <c r="G21" s="5">
        <f t="shared" si="3"/>
        <v>78.802634785899158</v>
      </c>
      <c r="H21" s="5">
        <f t="shared" si="3"/>
        <v>84.296605618949272</v>
      </c>
      <c r="I21" s="5">
        <f t="shared" si="3"/>
        <v>88.366639315966722</v>
      </c>
      <c r="J21" s="5">
        <f t="shared" si="3"/>
        <v>91.381794437505818</v>
      </c>
      <c r="K21" s="5">
        <f t="shared" si="3"/>
        <v>93.615476289723773</v>
      </c>
      <c r="L21" s="5">
        <f t="shared" si="3"/>
        <v>95.270228505052927</v>
      </c>
    </row>
  </sheetData>
  <dataConsolidate/>
  <pageMargins left="0.7" right="0.7" top="0.75" bottom="0.75" header="0.3" footer="0.3"/>
  <drawing r:id="rId1"/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0BF00F3-B816-4EC0-BF4B-575F824FE3C8}">
          <x14:formula1>
            <xm:f>Feuil1!$D$25:$D$34</xm:f>
          </x14:formula1>
          <xm:sqref>D4</xm:sqref>
        </x14:dataValidation>
        <x14:dataValidation type="list" allowBlank="1" showInputMessage="1" showErrorMessage="1" xr:uid="{16938607-CDE1-4B2F-96FE-618028FCA2B0}">
          <x14:formula1>
            <xm:f>Feuil1!$E$25:$E$29</xm:f>
          </x14:formula1>
          <xm:sqref>D5</xm:sqref>
        </x14:dataValidation>
        <x14:dataValidation type="list" allowBlank="1" showInputMessage="1" showErrorMessage="1" xr:uid="{7428AC1A-1EF9-4274-8171-18016CE2FE65}">
          <x14:formula1>
            <xm:f>Feuil1!$G$25:$G$29</xm:f>
          </x14:formula1>
          <xm:sqref>D3</xm:sqref>
        </x14:dataValidation>
        <x14:dataValidation type="list" allowBlank="1" showInputMessage="1" showErrorMessage="1" xr:uid="{1A25051C-9226-40C5-B0ED-6286ADE5013A}">
          <x14:formula1>
            <xm:f>Feuil1!$F$25:$F$29</xm:f>
          </x14:formula1>
          <xm:sqref>D7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3653A3-5182-499A-967E-E9AF24295E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Utilisation Formule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Dabout</dc:creator>
  <cp:lastModifiedBy>Matteo Dabout</cp:lastModifiedBy>
  <dcterms:created xsi:type="dcterms:W3CDTF">2025-10-02T08:52:39Z</dcterms:created>
  <dcterms:modified xsi:type="dcterms:W3CDTF">2025-10-02T10:41:54Z</dcterms:modified>
</cp:coreProperties>
</file>