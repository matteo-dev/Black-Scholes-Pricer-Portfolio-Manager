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ING4_S1\Option\"/>
    </mc:Choice>
  </mc:AlternateContent>
  <xr:revisionPtr revIDLastSave="0" documentId="8_{05411244-785B-423D-A110-36245C6942E6}" xr6:coauthVersionLast="36" xr6:coauthVersionMax="36" xr10:uidLastSave="{00000000-0000-0000-0000-000000000000}"/>
  <bookViews>
    <workbookView xWindow="0" yWindow="0" windowWidth="23040" windowHeight="8484" xr2:uid="{F39CD56A-505D-4484-91D9-2B7730A5292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C203" i="1"/>
  <c r="D203" i="1" s="1"/>
  <c r="F203" i="1" s="1"/>
  <c r="C204" i="1"/>
  <c r="D204" i="1" s="1"/>
  <c r="F204" i="1" s="1"/>
  <c r="C205" i="1"/>
  <c r="E205" i="1" s="1"/>
  <c r="C206" i="1"/>
  <c r="E206" i="1" s="1"/>
  <c r="C207" i="1"/>
  <c r="D207" i="1" s="1"/>
  <c r="F207" i="1" s="1"/>
  <c r="C208" i="1"/>
  <c r="E208" i="1" s="1"/>
  <c r="C209" i="1"/>
  <c r="E209" i="1" s="1"/>
  <c r="C210" i="1"/>
  <c r="D210" i="1" s="1"/>
  <c r="F210" i="1" s="1"/>
  <c r="C211" i="1"/>
  <c r="E211" i="1" s="1"/>
  <c r="C212" i="1"/>
  <c r="E212" i="1" s="1"/>
  <c r="C213" i="1"/>
  <c r="D213" i="1" s="1"/>
  <c r="F213" i="1" s="1"/>
  <c r="C214" i="1"/>
  <c r="D214" i="1" s="1"/>
  <c r="F214" i="1" s="1"/>
  <c r="C215" i="1"/>
  <c r="C216" i="1"/>
  <c r="D216" i="1" s="1"/>
  <c r="F216" i="1" s="1"/>
  <c r="C217" i="1"/>
  <c r="E217" i="1" s="1"/>
  <c r="C218" i="1"/>
  <c r="E218" i="1" s="1"/>
  <c r="C219" i="1"/>
  <c r="E219" i="1" s="1"/>
  <c r="C220" i="1"/>
  <c r="E220" i="1" s="1"/>
  <c r="C221" i="1"/>
  <c r="C222" i="1"/>
  <c r="D222" i="1" s="1"/>
  <c r="F222" i="1" s="1"/>
  <c r="C223" i="1"/>
  <c r="D223" i="1" s="1"/>
  <c r="F223" i="1" s="1"/>
  <c r="C224" i="1"/>
  <c r="C225" i="1"/>
  <c r="D225" i="1" s="1"/>
  <c r="F225" i="1" s="1"/>
  <c r="C226" i="1"/>
  <c r="E226" i="1" s="1"/>
  <c r="C227" i="1"/>
  <c r="D227" i="1" s="1"/>
  <c r="F227" i="1" s="1"/>
  <c r="C228" i="1"/>
  <c r="D228" i="1" s="1"/>
  <c r="F228" i="1" s="1"/>
  <c r="C229" i="1"/>
  <c r="C230" i="1"/>
  <c r="E230" i="1" s="1"/>
  <c r="C231" i="1"/>
  <c r="D231" i="1" s="1"/>
  <c r="F231" i="1" s="1"/>
  <c r="C232" i="1"/>
  <c r="E232" i="1" s="1"/>
  <c r="C233" i="1"/>
  <c r="D233" i="1" s="1"/>
  <c r="F233" i="1" s="1"/>
  <c r="C234" i="1"/>
  <c r="D234" i="1" s="1"/>
  <c r="F234" i="1" s="1"/>
  <c r="C235" i="1"/>
  <c r="D235" i="1" s="1"/>
  <c r="F235" i="1" s="1"/>
  <c r="C236" i="1"/>
  <c r="C237" i="1"/>
  <c r="D237" i="1" s="1"/>
  <c r="F237" i="1" s="1"/>
  <c r="C238" i="1"/>
  <c r="E238" i="1" s="1"/>
  <c r="C239" i="1"/>
  <c r="D239" i="1" s="1"/>
  <c r="F239" i="1" s="1"/>
  <c r="C240" i="1"/>
  <c r="D240" i="1" s="1"/>
  <c r="F240" i="1" s="1"/>
  <c r="C241" i="1"/>
  <c r="D241" i="1" s="1"/>
  <c r="F241" i="1" s="1"/>
  <c r="C242" i="1"/>
  <c r="C243" i="1"/>
  <c r="D243" i="1" s="1"/>
  <c r="F243" i="1" s="1"/>
  <c r="E243" i="1"/>
  <c r="C244" i="1"/>
  <c r="D244" i="1" s="1"/>
  <c r="F244" i="1" s="1"/>
  <c r="C245" i="1"/>
  <c r="D245" i="1" s="1"/>
  <c r="F245" i="1" s="1"/>
  <c r="C246" i="1"/>
  <c r="D246" i="1" s="1"/>
  <c r="F246" i="1" s="1"/>
  <c r="C247" i="1"/>
  <c r="D247" i="1" s="1"/>
  <c r="F247" i="1" s="1"/>
  <c r="C248" i="1"/>
  <c r="D248" i="1" s="1"/>
  <c r="F248" i="1" s="1"/>
  <c r="C249" i="1"/>
  <c r="E249" i="1" s="1"/>
  <c r="C250" i="1"/>
  <c r="D250" i="1" s="1"/>
  <c r="F250" i="1" s="1"/>
  <c r="C251" i="1"/>
  <c r="C252" i="1"/>
  <c r="D252" i="1" s="1"/>
  <c r="F252" i="1" s="1"/>
  <c r="C253" i="1"/>
  <c r="D253" i="1" s="1"/>
  <c r="F253" i="1" s="1"/>
  <c r="C254" i="1"/>
  <c r="D254" i="1" s="1"/>
  <c r="F254" i="1" s="1"/>
  <c r="C255" i="1"/>
  <c r="D255" i="1" s="1"/>
  <c r="F255" i="1" s="1"/>
  <c r="C256" i="1"/>
  <c r="E256" i="1" s="1"/>
  <c r="C257" i="1"/>
  <c r="C258" i="1"/>
  <c r="D258" i="1" s="1"/>
  <c r="F258" i="1" s="1"/>
  <c r="C259" i="1"/>
  <c r="E259" i="1" s="1"/>
  <c r="C260" i="1"/>
  <c r="E260" i="1" s="1"/>
  <c r="C261" i="1"/>
  <c r="E261" i="1" s="1"/>
  <c r="D261" i="1"/>
  <c r="F261" i="1" s="1"/>
  <c r="C262" i="1"/>
  <c r="C263" i="1"/>
  <c r="C264" i="1"/>
  <c r="D264" i="1" s="1"/>
  <c r="F264" i="1" s="1"/>
  <c r="E264" i="1"/>
  <c r="C265" i="1"/>
  <c r="E265" i="1" s="1"/>
  <c r="C266" i="1"/>
  <c r="D266" i="1" s="1"/>
  <c r="F266" i="1" s="1"/>
  <c r="C267" i="1"/>
  <c r="D267" i="1" s="1"/>
  <c r="F267" i="1" s="1"/>
  <c r="C268" i="1"/>
  <c r="D268" i="1" s="1"/>
  <c r="F268" i="1" s="1"/>
  <c r="C269" i="1"/>
  <c r="D269" i="1" s="1"/>
  <c r="F269" i="1" s="1"/>
  <c r="C270" i="1"/>
  <c r="D270" i="1" s="1"/>
  <c r="F270" i="1" s="1"/>
  <c r="C271" i="1"/>
  <c r="E271" i="1" s="1"/>
  <c r="C272" i="1"/>
  <c r="D272" i="1" s="1"/>
  <c r="F272" i="1" s="1"/>
  <c r="C273" i="1"/>
  <c r="E273" i="1" s="1"/>
  <c r="C274" i="1"/>
  <c r="D274" i="1" s="1"/>
  <c r="F274" i="1" s="1"/>
  <c r="C275" i="1"/>
  <c r="D275" i="1" s="1"/>
  <c r="F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D284" i="1" s="1"/>
  <c r="F284" i="1" s="1"/>
  <c r="E284" i="1"/>
  <c r="C285" i="1"/>
  <c r="D285" i="1" s="1"/>
  <c r="F285" i="1" s="1"/>
  <c r="C286" i="1"/>
  <c r="D286" i="1"/>
  <c r="F286" i="1" s="1"/>
  <c r="E286" i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D292" i="1" s="1"/>
  <c r="F292" i="1" s="1"/>
  <c r="C293" i="1"/>
  <c r="D293" i="1" s="1"/>
  <c r="F293" i="1" s="1"/>
  <c r="C294" i="1"/>
  <c r="D294" i="1" s="1"/>
  <c r="F294" i="1" s="1"/>
  <c r="C295" i="1"/>
  <c r="C296" i="1"/>
  <c r="D296" i="1" s="1"/>
  <c r="F296" i="1" s="1"/>
  <c r="C297" i="1"/>
  <c r="E297" i="1" s="1"/>
  <c r="C298" i="1"/>
  <c r="E298" i="1" s="1"/>
  <c r="C299" i="1"/>
  <c r="C300" i="1"/>
  <c r="E300" i="1" s="1"/>
  <c r="C301" i="1"/>
  <c r="D301" i="1" s="1"/>
  <c r="F301" i="1" s="1"/>
  <c r="C302" i="1"/>
  <c r="D302" i="1" s="1"/>
  <c r="F302" i="1" s="1"/>
  <c r="C303" i="1"/>
  <c r="D303" i="1" s="1"/>
  <c r="F303" i="1" s="1"/>
  <c r="C304" i="1"/>
  <c r="C305" i="1"/>
  <c r="D305" i="1" s="1"/>
  <c r="F305" i="1" s="1"/>
  <c r="C306" i="1"/>
  <c r="D306" i="1" s="1"/>
  <c r="F306" i="1" s="1"/>
  <c r="C307" i="1"/>
  <c r="D307" i="1" s="1"/>
  <c r="F307" i="1" s="1"/>
  <c r="C308" i="1"/>
  <c r="D308" i="1" s="1"/>
  <c r="F308" i="1" s="1"/>
  <c r="C309" i="1"/>
  <c r="D309" i="1" s="1"/>
  <c r="F309" i="1" s="1"/>
  <c r="C310" i="1"/>
  <c r="E310" i="1" s="1"/>
  <c r="C311" i="1"/>
  <c r="E311" i="1" s="1"/>
  <c r="C312" i="1"/>
  <c r="E312" i="1" s="1"/>
  <c r="C313" i="1"/>
  <c r="E313" i="1" s="1"/>
  <c r="C314" i="1"/>
  <c r="D314" i="1" s="1"/>
  <c r="F314" i="1" s="1"/>
  <c r="C315" i="1"/>
  <c r="E315" i="1" s="1"/>
  <c r="C316" i="1"/>
  <c r="E316" i="1" s="1"/>
  <c r="C317" i="1"/>
  <c r="C318" i="1"/>
  <c r="D318" i="1" s="1"/>
  <c r="F318" i="1" s="1"/>
  <c r="C319" i="1"/>
  <c r="D319" i="1" s="1"/>
  <c r="F319" i="1" s="1"/>
  <c r="C320" i="1"/>
  <c r="E320" i="1" s="1"/>
  <c r="C321" i="1"/>
  <c r="D321" i="1" s="1"/>
  <c r="F321" i="1" s="1"/>
  <c r="C322" i="1"/>
  <c r="D322" i="1" s="1"/>
  <c r="F322" i="1" s="1"/>
  <c r="C323" i="1"/>
  <c r="C324" i="1"/>
  <c r="D324" i="1" s="1"/>
  <c r="F324" i="1" s="1"/>
  <c r="C325" i="1"/>
  <c r="D325" i="1" s="1"/>
  <c r="F325" i="1" s="1"/>
  <c r="C326" i="1"/>
  <c r="D326" i="1" s="1"/>
  <c r="F326" i="1" s="1"/>
  <c r="C327" i="1"/>
  <c r="D327" i="1" s="1"/>
  <c r="F327" i="1" s="1"/>
  <c r="C328" i="1"/>
  <c r="C329" i="1"/>
  <c r="E329" i="1" s="1"/>
  <c r="C330" i="1"/>
  <c r="D330" i="1" s="1"/>
  <c r="F330" i="1" s="1"/>
  <c r="C331" i="1"/>
  <c r="D331" i="1" s="1"/>
  <c r="F331" i="1" s="1"/>
  <c r="C332" i="1"/>
  <c r="C333" i="1"/>
  <c r="E333" i="1" s="1"/>
  <c r="C334" i="1"/>
  <c r="D334" i="1" s="1"/>
  <c r="F334" i="1" s="1"/>
  <c r="C335" i="1"/>
  <c r="E335" i="1" s="1"/>
  <c r="C336" i="1"/>
  <c r="E336" i="1" s="1"/>
  <c r="C337" i="1"/>
  <c r="D337" i="1" s="1"/>
  <c r="F337" i="1" s="1"/>
  <c r="C338" i="1"/>
  <c r="D338" i="1" s="1"/>
  <c r="F338" i="1" s="1"/>
  <c r="C339" i="1"/>
  <c r="E339" i="1" s="1"/>
  <c r="C340" i="1"/>
  <c r="D340" i="1" s="1"/>
  <c r="F340" i="1" s="1"/>
  <c r="C341" i="1"/>
  <c r="D341" i="1" s="1"/>
  <c r="F341" i="1" s="1"/>
  <c r="C342" i="1"/>
  <c r="D342" i="1" s="1"/>
  <c r="F342" i="1" s="1"/>
  <c r="C343" i="1"/>
  <c r="D343" i="1" s="1"/>
  <c r="F343" i="1" s="1"/>
  <c r="C344" i="1"/>
  <c r="C345" i="1"/>
  <c r="D345" i="1" s="1"/>
  <c r="F345" i="1" s="1"/>
  <c r="C346" i="1"/>
  <c r="E346" i="1" s="1"/>
  <c r="C347" i="1"/>
  <c r="D347" i="1" s="1"/>
  <c r="F347" i="1" s="1"/>
  <c r="C348" i="1"/>
  <c r="E348" i="1" s="1"/>
  <c r="C349" i="1"/>
  <c r="C350" i="1"/>
  <c r="D350" i="1" s="1"/>
  <c r="F350" i="1" s="1"/>
  <c r="C351" i="1"/>
  <c r="D351" i="1" s="1"/>
  <c r="F351" i="1" s="1"/>
  <c r="C352" i="1"/>
  <c r="D352" i="1" s="1"/>
  <c r="F352" i="1" s="1"/>
  <c r="C353" i="1"/>
  <c r="C354" i="1"/>
  <c r="E354" i="1" s="1"/>
  <c r="C355" i="1"/>
  <c r="E355" i="1" s="1"/>
  <c r="C356" i="1"/>
  <c r="E356" i="1" s="1"/>
  <c r="C357" i="1"/>
  <c r="D357" i="1" s="1"/>
  <c r="F357" i="1" s="1"/>
  <c r="C358" i="1"/>
  <c r="D358" i="1" s="1"/>
  <c r="F358" i="1" s="1"/>
  <c r="C359" i="1"/>
  <c r="C360" i="1"/>
  <c r="E360" i="1" s="1"/>
  <c r="C361" i="1"/>
  <c r="D361" i="1" s="1"/>
  <c r="F361" i="1" s="1"/>
  <c r="C362" i="1"/>
  <c r="E362" i="1" s="1"/>
  <c r="C363" i="1"/>
  <c r="C364" i="1"/>
  <c r="E364" i="1" s="1"/>
  <c r="C365" i="1"/>
  <c r="D365" i="1" s="1"/>
  <c r="F365" i="1" s="1"/>
  <c r="C366" i="1"/>
  <c r="D366" i="1" s="1"/>
  <c r="F366" i="1" s="1"/>
  <c r="C367" i="1"/>
  <c r="D367" i="1" s="1"/>
  <c r="F367" i="1" s="1"/>
  <c r="C368" i="1"/>
  <c r="E368" i="1" s="1"/>
  <c r="C369" i="1"/>
  <c r="E369" i="1" s="1"/>
  <c r="C370" i="1"/>
  <c r="D370" i="1" s="1"/>
  <c r="F370" i="1" s="1"/>
  <c r="C371" i="1"/>
  <c r="D371" i="1" s="1"/>
  <c r="F371" i="1" s="1"/>
  <c r="C372" i="1"/>
  <c r="D372" i="1" s="1"/>
  <c r="F372" i="1" s="1"/>
  <c r="C373" i="1"/>
  <c r="D373" i="1" s="1"/>
  <c r="F373" i="1" s="1"/>
  <c r="C374" i="1"/>
  <c r="D374" i="1" s="1"/>
  <c r="F374" i="1" s="1"/>
  <c r="C375" i="1"/>
  <c r="D375" i="1" s="1"/>
  <c r="F375" i="1" s="1"/>
  <c r="C376" i="1"/>
  <c r="D376" i="1" s="1"/>
  <c r="F376" i="1" s="1"/>
  <c r="C377" i="1"/>
  <c r="C378" i="1"/>
  <c r="E378" i="1" s="1"/>
  <c r="C379" i="1"/>
  <c r="D379" i="1" s="1"/>
  <c r="F379" i="1" s="1"/>
  <c r="C380" i="1"/>
  <c r="C381" i="1"/>
  <c r="D381" i="1" s="1"/>
  <c r="F381" i="1" s="1"/>
  <c r="C382" i="1"/>
  <c r="E382" i="1" s="1"/>
  <c r="C383" i="1"/>
  <c r="E383" i="1" s="1"/>
  <c r="C384" i="1"/>
  <c r="D384" i="1" s="1"/>
  <c r="F384" i="1" s="1"/>
  <c r="C385" i="1"/>
  <c r="E385" i="1" s="1"/>
  <c r="C386" i="1"/>
  <c r="E386" i="1" s="1"/>
  <c r="C387" i="1"/>
  <c r="E387" i="1" s="1"/>
  <c r="C388" i="1"/>
  <c r="E388" i="1" s="1"/>
  <c r="C389" i="1"/>
  <c r="D389" i="1" s="1"/>
  <c r="F389" i="1" s="1"/>
  <c r="C390" i="1"/>
  <c r="E390" i="1" s="1"/>
  <c r="C391" i="1"/>
  <c r="E391" i="1" s="1"/>
  <c r="C392" i="1"/>
  <c r="D392" i="1" s="1"/>
  <c r="F392" i="1" s="1"/>
  <c r="C393" i="1"/>
  <c r="D393" i="1" s="1"/>
  <c r="F393" i="1" s="1"/>
  <c r="C394" i="1"/>
  <c r="D394" i="1" s="1"/>
  <c r="F394" i="1" s="1"/>
  <c r="C395" i="1"/>
  <c r="E395" i="1" s="1"/>
  <c r="C396" i="1"/>
  <c r="E396" i="1" s="1"/>
  <c r="C397" i="1"/>
  <c r="D397" i="1" s="1"/>
  <c r="F397" i="1" s="1"/>
  <c r="C398" i="1"/>
  <c r="D398" i="1" s="1"/>
  <c r="F398" i="1" s="1"/>
  <c r="C399" i="1"/>
  <c r="D399" i="1" s="1"/>
  <c r="F399" i="1" s="1"/>
  <c r="C400" i="1"/>
  <c r="D400" i="1" s="1"/>
  <c r="F400" i="1" s="1"/>
  <c r="C401" i="1"/>
  <c r="E401" i="1" s="1"/>
  <c r="C402" i="1"/>
  <c r="D402" i="1" s="1"/>
  <c r="F402" i="1" s="1"/>
  <c r="C403" i="1"/>
  <c r="E403" i="1" s="1"/>
  <c r="C404" i="1"/>
  <c r="E404" i="1" s="1"/>
  <c r="C405" i="1"/>
  <c r="D405" i="1" s="1"/>
  <c r="F405" i="1" s="1"/>
  <c r="C406" i="1"/>
  <c r="D406" i="1" s="1"/>
  <c r="F406" i="1" s="1"/>
  <c r="C407" i="1"/>
  <c r="E407" i="1" s="1"/>
  <c r="C408" i="1"/>
  <c r="D408" i="1" s="1"/>
  <c r="F408" i="1" s="1"/>
  <c r="C409" i="1"/>
  <c r="D409" i="1" s="1"/>
  <c r="F409" i="1" s="1"/>
  <c r="C410" i="1"/>
  <c r="D410" i="1" s="1"/>
  <c r="F410" i="1" s="1"/>
  <c r="E410" i="1"/>
  <c r="G410" i="1" s="1"/>
  <c r="M410" i="1" s="1"/>
  <c r="C411" i="1"/>
  <c r="E411" i="1" s="1"/>
  <c r="C412" i="1"/>
  <c r="E412" i="1" s="1"/>
  <c r="C413" i="1"/>
  <c r="D413" i="1" s="1"/>
  <c r="F413" i="1" s="1"/>
  <c r="C414" i="1"/>
  <c r="D414" i="1" s="1"/>
  <c r="F414" i="1" s="1"/>
  <c r="C415" i="1"/>
  <c r="D415" i="1" s="1"/>
  <c r="F415" i="1" s="1"/>
  <c r="C416" i="1"/>
  <c r="D416" i="1" s="1"/>
  <c r="F416" i="1" s="1"/>
  <c r="C417" i="1"/>
  <c r="D417" i="1" s="1"/>
  <c r="F417" i="1" s="1"/>
  <c r="C418" i="1"/>
  <c r="D418" i="1" s="1"/>
  <c r="F418" i="1" s="1"/>
  <c r="C419" i="1"/>
  <c r="D419" i="1" s="1"/>
  <c r="F419" i="1" s="1"/>
  <c r="C420" i="1"/>
  <c r="E420" i="1" s="1"/>
  <c r="D420" i="1"/>
  <c r="F420" i="1" s="1"/>
  <c r="C421" i="1"/>
  <c r="D421" i="1" s="1"/>
  <c r="F421" i="1" s="1"/>
  <c r="C422" i="1"/>
  <c r="E422" i="1" s="1"/>
  <c r="C423" i="1"/>
  <c r="E423" i="1" s="1"/>
  <c r="C424" i="1"/>
  <c r="E424" i="1" s="1"/>
  <c r="C425" i="1"/>
  <c r="D425" i="1" s="1"/>
  <c r="F425" i="1" s="1"/>
  <c r="C426" i="1"/>
  <c r="E426" i="1" s="1"/>
  <c r="C427" i="1"/>
  <c r="D427" i="1" s="1"/>
  <c r="F427" i="1" s="1"/>
  <c r="C428" i="1"/>
  <c r="E428" i="1" s="1"/>
  <c r="C429" i="1"/>
  <c r="E429" i="1" s="1"/>
  <c r="C430" i="1"/>
  <c r="D430" i="1" s="1"/>
  <c r="F430" i="1" s="1"/>
  <c r="C431" i="1"/>
  <c r="E431" i="1" s="1"/>
  <c r="C432" i="1"/>
  <c r="E432" i="1" s="1"/>
  <c r="C433" i="1"/>
  <c r="D433" i="1" s="1"/>
  <c r="F433" i="1" s="1"/>
  <c r="C434" i="1"/>
  <c r="D434" i="1" s="1"/>
  <c r="F434" i="1" s="1"/>
  <c r="C435" i="1"/>
  <c r="D435" i="1" s="1"/>
  <c r="F435" i="1" s="1"/>
  <c r="C436" i="1"/>
  <c r="D436" i="1" s="1"/>
  <c r="F436" i="1" s="1"/>
  <c r="C437" i="1"/>
  <c r="E437" i="1" s="1"/>
  <c r="C438" i="1"/>
  <c r="D438" i="1" s="1"/>
  <c r="F438" i="1" s="1"/>
  <c r="C439" i="1"/>
  <c r="D439" i="1" s="1"/>
  <c r="F439" i="1" s="1"/>
  <c r="C440" i="1"/>
  <c r="D440" i="1" s="1"/>
  <c r="F440" i="1" s="1"/>
  <c r="C441" i="1"/>
  <c r="E441" i="1" s="1"/>
  <c r="C442" i="1"/>
  <c r="E442" i="1" s="1"/>
  <c r="C443" i="1"/>
  <c r="E443" i="1" s="1"/>
  <c r="C444" i="1"/>
  <c r="E444" i="1" s="1"/>
  <c r="C445" i="1"/>
  <c r="D445" i="1" s="1"/>
  <c r="F445" i="1" s="1"/>
  <c r="C446" i="1"/>
  <c r="E446" i="1" s="1"/>
  <c r="C447" i="1"/>
  <c r="E447" i="1" s="1"/>
  <c r="C448" i="1"/>
  <c r="D448" i="1" s="1"/>
  <c r="F448" i="1" s="1"/>
  <c r="C449" i="1"/>
  <c r="D449" i="1" s="1"/>
  <c r="F449" i="1" s="1"/>
  <c r="C450" i="1"/>
  <c r="E450" i="1" s="1"/>
  <c r="C451" i="1"/>
  <c r="D451" i="1" s="1"/>
  <c r="F451" i="1" s="1"/>
  <c r="C452" i="1"/>
  <c r="D452" i="1" s="1"/>
  <c r="F452" i="1" s="1"/>
  <c r="C453" i="1"/>
  <c r="E453" i="1" s="1"/>
  <c r="C454" i="1"/>
  <c r="D454" i="1" s="1"/>
  <c r="F454" i="1" s="1"/>
  <c r="C455" i="1"/>
  <c r="E455" i="1" s="1"/>
  <c r="C456" i="1"/>
  <c r="E456" i="1" s="1"/>
  <c r="C457" i="1"/>
  <c r="D457" i="1" s="1"/>
  <c r="F457" i="1" s="1"/>
  <c r="C458" i="1"/>
  <c r="E458" i="1" s="1"/>
  <c r="C459" i="1"/>
  <c r="C460" i="1"/>
  <c r="E460" i="1" s="1"/>
  <c r="C461" i="1"/>
  <c r="E461" i="1" s="1"/>
  <c r="C462" i="1"/>
  <c r="C463" i="1"/>
  <c r="D463" i="1" s="1"/>
  <c r="F463" i="1" s="1"/>
  <c r="C464" i="1"/>
  <c r="D464" i="1" s="1"/>
  <c r="F464" i="1" s="1"/>
  <c r="C465" i="1"/>
  <c r="C466" i="1"/>
  <c r="D466" i="1" s="1"/>
  <c r="F466" i="1" s="1"/>
  <c r="C467" i="1"/>
  <c r="D467" i="1" s="1"/>
  <c r="F467" i="1" s="1"/>
  <c r="C468" i="1"/>
  <c r="C469" i="1"/>
  <c r="D469" i="1" s="1"/>
  <c r="F469" i="1" s="1"/>
  <c r="C470" i="1"/>
  <c r="E470" i="1" s="1"/>
  <c r="C471" i="1"/>
  <c r="C472" i="1"/>
  <c r="D472" i="1" s="1"/>
  <c r="F472" i="1" s="1"/>
  <c r="C473" i="1"/>
  <c r="E473" i="1" s="1"/>
  <c r="C474" i="1"/>
  <c r="D474" i="1" s="1"/>
  <c r="F474" i="1" s="1"/>
  <c r="C475" i="1"/>
  <c r="C476" i="1"/>
  <c r="D476" i="1" s="1"/>
  <c r="F476" i="1" s="1"/>
  <c r="C477" i="1"/>
  <c r="C478" i="1"/>
  <c r="C479" i="1"/>
  <c r="D479" i="1" s="1"/>
  <c r="F479" i="1" s="1"/>
  <c r="E479" i="1"/>
  <c r="C480" i="1"/>
  <c r="E480" i="1" s="1"/>
  <c r="C481" i="1"/>
  <c r="D481" i="1" s="1"/>
  <c r="F481" i="1" s="1"/>
  <c r="C482" i="1"/>
  <c r="D482" i="1" s="1"/>
  <c r="F482" i="1" s="1"/>
  <c r="C483" i="1"/>
  <c r="D483" i="1" s="1"/>
  <c r="F483" i="1" s="1"/>
  <c r="C484" i="1"/>
  <c r="D484" i="1" s="1"/>
  <c r="F484" i="1" s="1"/>
  <c r="C485" i="1"/>
  <c r="E485" i="1" s="1"/>
  <c r="C486" i="1"/>
  <c r="E486" i="1" s="1"/>
  <c r="C487" i="1"/>
  <c r="E487" i="1" s="1"/>
  <c r="D487" i="1"/>
  <c r="F487" i="1" s="1"/>
  <c r="C488" i="1"/>
  <c r="E488" i="1" s="1"/>
  <c r="C489" i="1"/>
  <c r="C490" i="1"/>
  <c r="C491" i="1"/>
  <c r="D491" i="1" s="1"/>
  <c r="F491" i="1" s="1"/>
  <c r="C492" i="1"/>
  <c r="C493" i="1"/>
  <c r="D493" i="1" s="1"/>
  <c r="F493" i="1" s="1"/>
  <c r="C494" i="1"/>
  <c r="D494" i="1" s="1"/>
  <c r="F494" i="1" s="1"/>
  <c r="C495" i="1"/>
  <c r="E495" i="1" s="1"/>
  <c r="C496" i="1"/>
  <c r="D496" i="1" s="1"/>
  <c r="F496" i="1" s="1"/>
  <c r="C497" i="1"/>
  <c r="D497" i="1" s="1"/>
  <c r="F497" i="1" s="1"/>
  <c r="C498" i="1"/>
  <c r="E498" i="1" s="1"/>
  <c r="D498" i="1"/>
  <c r="F498" i="1" s="1"/>
  <c r="C499" i="1"/>
  <c r="C500" i="1"/>
  <c r="D500" i="1" s="1"/>
  <c r="F500" i="1" s="1"/>
  <c r="C501" i="1"/>
  <c r="D501" i="1" s="1"/>
  <c r="F501" i="1" s="1"/>
  <c r="C502" i="1"/>
  <c r="E502" i="1" s="1"/>
  <c r="C503" i="1"/>
  <c r="D503" i="1" s="1"/>
  <c r="F503" i="1" s="1"/>
  <c r="C504" i="1"/>
  <c r="D504" i="1" s="1"/>
  <c r="F504" i="1" s="1"/>
  <c r="C505" i="1"/>
  <c r="E505" i="1" s="1"/>
  <c r="C506" i="1"/>
  <c r="E506" i="1" s="1"/>
  <c r="C507" i="1"/>
  <c r="E507" i="1" s="1"/>
  <c r="C508" i="1"/>
  <c r="D508" i="1" s="1"/>
  <c r="F508" i="1" s="1"/>
  <c r="C509" i="1"/>
  <c r="C510" i="1"/>
  <c r="E510" i="1" s="1"/>
  <c r="C511" i="1"/>
  <c r="D511" i="1" s="1"/>
  <c r="F511" i="1" s="1"/>
  <c r="C512" i="1"/>
  <c r="D512" i="1" s="1"/>
  <c r="F512" i="1" s="1"/>
  <c r="C513" i="1"/>
  <c r="D513" i="1" s="1"/>
  <c r="F513" i="1" s="1"/>
  <c r="C514" i="1"/>
  <c r="D514" i="1" s="1"/>
  <c r="F514" i="1" s="1"/>
  <c r="C515" i="1"/>
  <c r="D515" i="1" s="1"/>
  <c r="F515" i="1" s="1"/>
  <c r="C516" i="1"/>
  <c r="D516" i="1" s="1"/>
  <c r="F516" i="1" s="1"/>
  <c r="C517" i="1"/>
  <c r="D517" i="1" s="1"/>
  <c r="F517" i="1" s="1"/>
  <c r="C518" i="1"/>
  <c r="D518" i="1" s="1"/>
  <c r="F518" i="1" s="1"/>
  <c r="C519" i="1"/>
  <c r="D519" i="1" s="1"/>
  <c r="F519" i="1" s="1"/>
  <c r="C520" i="1"/>
  <c r="D520" i="1" s="1"/>
  <c r="F520" i="1" s="1"/>
  <c r="C521" i="1"/>
  <c r="D521" i="1" s="1"/>
  <c r="F521" i="1" s="1"/>
  <c r="C522" i="1"/>
  <c r="D522" i="1" s="1"/>
  <c r="F522" i="1" s="1"/>
  <c r="C523" i="1"/>
  <c r="C524" i="1"/>
  <c r="E524" i="1" s="1"/>
  <c r="C525" i="1"/>
  <c r="E525" i="1" s="1"/>
  <c r="C526" i="1"/>
  <c r="D526" i="1" s="1"/>
  <c r="F526" i="1" s="1"/>
  <c r="C527" i="1"/>
  <c r="D527" i="1" s="1"/>
  <c r="F527" i="1" s="1"/>
  <c r="C528" i="1"/>
  <c r="D528" i="1" s="1"/>
  <c r="F528" i="1" s="1"/>
  <c r="C529" i="1"/>
  <c r="E529" i="1" s="1"/>
  <c r="C530" i="1"/>
  <c r="E530" i="1" s="1"/>
  <c r="C531" i="1"/>
  <c r="D531" i="1" s="1"/>
  <c r="F531" i="1" s="1"/>
  <c r="C532" i="1"/>
  <c r="E532" i="1" s="1"/>
  <c r="C533" i="1"/>
  <c r="E533" i="1" s="1"/>
  <c r="C534" i="1"/>
  <c r="D534" i="1" s="1"/>
  <c r="F534" i="1" s="1"/>
  <c r="C535" i="1"/>
  <c r="D535" i="1" s="1"/>
  <c r="F535" i="1" s="1"/>
  <c r="C536" i="1"/>
  <c r="E536" i="1" s="1"/>
  <c r="D536" i="1"/>
  <c r="F536" i="1" s="1"/>
  <c r="C537" i="1"/>
  <c r="E537" i="1" s="1"/>
  <c r="C538" i="1"/>
  <c r="D538" i="1" s="1"/>
  <c r="F538" i="1" s="1"/>
  <c r="C539" i="1"/>
  <c r="E539" i="1" s="1"/>
  <c r="C540" i="1"/>
  <c r="E540" i="1" s="1"/>
  <c r="D540" i="1"/>
  <c r="F540" i="1" s="1"/>
  <c r="C541" i="1"/>
  <c r="D541" i="1" s="1"/>
  <c r="F541" i="1" s="1"/>
  <c r="C542" i="1"/>
  <c r="E542" i="1" s="1"/>
  <c r="C543" i="1"/>
  <c r="E543" i="1" s="1"/>
  <c r="C544" i="1"/>
  <c r="D544" i="1" s="1"/>
  <c r="F544" i="1" s="1"/>
  <c r="C545" i="1"/>
  <c r="D545" i="1" s="1"/>
  <c r="F545" i="1" s="1"/>
  <c r="C546" i="1"/>
  <c r="E546" i="1" s="1"/>
  <c r="C547" i="1"/>
  <c r="D547" i="1" s="1"/>
  <c r="F547" i="1" s="1"/>
  <c r="C548" i="1"/>
  <c r="E548" i="1" s="1"/>
  <c r="C549" i="1"/>
  <c r="E549" i="1" s="1"/>
  <c r="C550" i="1"/>
  <c r="E550" i="1" s="1"/>
  <c r="C551" i="1"/>
  <c r="D551" i="1" s="1"/>
  <c r="F551" i="1" s="1"/>
  <c r="C552" i="1"/>
  <c r="D552" i="1" s="1"/>
  <c r="F552" i="1" s="1"/>
  <c r="C553" i="1"/>
  <c r="D553" i="1" s="1"/>
  <c r="F553" i="1" s="1"/>
  <c r="C554" i="1"/>
  <c r="D554" i="1" s="1"/>
  <c r="F554" i="1" s="1"/>
  <c r="C555" i="1"/>
  <c r="D555" i="1" s="1"/>
  <c r="F555" i="1" s="1"/>
  <c r="C556" i="1"/>
  <c r="E556" i="1" s="1"/>
  <c r="C557" i="1"/>
  <c r="D557" i="1" s="1"/>
  <c r="F557" i="1" s="1"/>
  <c r="C558" i="1"/>
  <c r="D558" i="1" s="1"/>
  <c r="F558" i="1" s="1"/>
  <c r="C559" i="1"/>
  <c r="D559" i="1" s="1"/>
  <c r="F559" i="1" s="1"/>
  <c r="C560" i="1"/>
  <c r="D560" i="1" s="1"/>
  <c r="F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D566" i="1" s="1"/>
  <c r="F566" i="1" s="1"/>
  <c r="C567" i="1"/>
  <c r="D567" i="1" s="1"/>
  <c r="F567" i="1" s="1"/>
  <c r="C568" i="1"/>
  <c r="E568" i="1" s="1"/>
  <c r="C569" i="1"/>
  <c r="E569" i="1" s="1"/>
  <c r="C570" i="1"/>
  <c r="E570" i="1" s="1"/>
  <c r="C571" i="1"/>
  <c r="D571" i="1" s="1"/>
  <c r="F571" i="1" s="1"/>
  <c r="C572" i="1"/>
  <c r="D572" i="1" s="1"/>
  <c r="F572" i="1" s="1"/>
  <c r="C573" i="1"/>
  <c r="D573" i="1" s="1"/>
  <c r="F573" i="1" s="1"/>
  <c r="E573" i="1"/>
  <c r="C574" i="1"/>
  <c r="D574" i="1" s="1"/>
  <c r="F574" i="1" s="1"/>
  <c r="C575" i="1"/>
  <c r="D575" i="1" s="1"/>
  <c r="F575" i="1" s="1"/>
  <c r="C576" i="1"/>
  <c r="D576" i="1" s="1"/>
  <c r="F576" i="1" s="1"/>
  <c r="C577" i="1"/>
  <c r="D577" i="1" s="1"/>
  <c r="F577" i="1" s="1"/>
  <c r="C578" i="1"/>
  <c r="E578" i="1" s="1"/>
  <c r="C579" i="1"/>
  <c r="E579" i="1" s="1"/>
  <c r="C580" i="1"/>
  <c r="E580" i="1" s="1"/>
  <c r="C581" i="1"/>
  <c r="E581" i="1" s="1"/>
  <c r="D581" i="1"/>
  <c r="F581" i="1" s="1"/>
  <c r="C582" i="1"/>
  <c r="D582" i="1" s="1"/>
  <c r="F582" i="1" s="1"/>
  <c r="C583" i="1"/>
  <c r="E583" i="1" s="1"/>
  <c r="C584" i="1"/>
  <c r="E584" i="1" s="1"/>
  <c r="C585" i="1"/>
  <c r="D585" i="1" s="1"/>
  <c r="F585" i="1" s="1"/>
  <c r="C586" i="1"/>
  <c r="D586" i="1" s="1"/>
  <c r="F586" i="1" s="1"/>
  <c r="C587" i="1"/>
  <c r="E587" i="1" s="1"/>
  <c r="C588" i="1"/>
  <c r="D588" i="1" s="1"/>
  <c r="F588" i="1" s="1"/>
  <c r="C589" i="1"/>
  <c r="D589" i="1" s="1"/>
  <c r="F589" i="1" s="1"/>
  <c r="C590" i="1"/>
  <c r="D590" i="1" s="1"/>
  <c r="F590" i="1" s="1"/>
  <c r="C591" i="1"/>
  <c r="D591" i="1" s="1"/>
  <c r="F591" i="1" s="1"/>
  <c r="C592" i="1"/>
  <c r="E592" i="1" s="1"/>
  <c r="C593" i="1"/>
  <c r="E593" i="1" s="1"/>
  <c r="C594" i="1"/>
  <c r="E594" i="1" s="1"/>
  <c r="C595" i="1"/>
  <c r="D595" i="1" s="1"/>
  <c r="F595" i="1" s="1"/>
  <c r="C596" i="1"/>
  <c r="D596" i="1" s="1"/>
  <c r="F596" i="1" s="1"/>
  <c r="C597" i="1"/>
  <c r="D597" i="1" s="1"/>
  <c r="F597" i="1" s="1"/>
  <c r="C598" i="1"/>
  <c r="D598" i="1" s="1"/>
  <c r="F598" i="1" s="1"/>
  <c r="C599" i="1"/>
  <c r="D599" i="1" s="1"/>
  <c r="F599" i="1" s="1"/>
  <c r="C600" i="1"/>
  <c r="E600" i="1" s="1"/>
  <c r="C601" i="1"/>
  <c r="D601" i="1" s="1"/>
  <c r="F601" i="1" s="1"/>
  <c r="C602" i="1"/>
  <c r="E602" i="1" s="1"/>
  <c r="C603" i="1"/>
  <c r="E603" i="1" s="1"/>
  <c r="C604" i="1"/>
  <c r="E604" i="1" s="1"/>
  <c r="C605" i="1"/>
  <c r="D605" i="1" s="1"/>
  <c r="F605" i="1" s="1"/>
  <c r="C606" i="1"/>
  <c r="D606" i="1" s="1"/>
  <c r="F606" i="1" s="1"/>
  <c r="C607" i="1"/>
  <c r="E607" i="1" s="1"/>
  <c r="C608" i="1"/>
  <c r="E608" i="1" s="1"/>
  <c r="D608" i="1"/>
  <c r="F608" i="1" s="1"/>
  <c r="G608" i="1" s="1"/>
  <c r="M608" i="1" s="1"/>
  <c r="C609" i="1"/>
  <c r="E609" i="1" s="1"/>
  <c r="C610" i="1"/>
  <c r="D610" i="1" s="1"/>
  <c r="F610" i="1" s="1"/>
  <c r="C611" i="1"/>
  <c r="D611" i="1" s="1"/>
  <c r="F611" i="1" s="1"/>
  <c r="C612" i="1"/>
  <c r="D612" i="1" s="1"/>
  <c r="F612" i="1" s="1"/>
  <c r="C613" i="1"/>
  <c r="E613" i="1" s="1"/>
  <c r="C614" i="1"/>
  <c r="E614" i="1" s="1"/>
  <c r="C615" i="1"/>
  <c r="D615" i="1" s="1"/>
  <c r="F615" i="1" s="1"/>
  <c r="C616" i="1"/>
  <c r="D616" i="1" s="1"/>
  <c r="F616" i="1" s="1"/>
  <c r="C617" i="1"/>
  <c r="E617" i="1" s="1"/>
  <c r="C618" i="1"/>
  <c r="E618" i="1" s="1"/>
  <c r="C619" i="1"/>
  <c r="E619" i="1" s="1"/>
  <c r="D619" i="1"/>
  <c r="F619" i="1" s="1"/>
  <c r="C620" i="1"/>
  <c r="D620" i="1" s="1"/>
  <c r="F620" i="1" s="1"/>
  <c r="C621" i="1"/>
  <c r="D621" i="1" s="1"/>
  <c r="F621" i="1" s="1"/>
  <c r="C622" i="1"/>
  <c r="E622" i="1" s="1"/>
  <c r="C623" i="1"/>
  <c r="D623" i="1" s="1"/>
  <c r="F623" i="1" s="1"/>
  <c r="C624" i="1"/>
  <c r="E624" i="1" s="1"/>
  <c r="C625" i="1"/>
  <c r="D625" i="1" s="1"/>
  <c r="F625" i="1" s="1"/>
  <c r="C626" i="1"/>
  <c r="E626" i="1" s="1"/>
  <c r="C627" i="1"/>
  <c r="E627" i="1" s="1"/>
  <c r="C628" i="1"/>
  <c r="D628" i="1" s="1"/>
  <c r="F628" i="1" s="1"/>
  <c r="C629" i="1"/>
  <c r="E629" i="1" s="1"/>
  <c r="C630" i="1"/>
  <c r="D630" i="1" s="1"/>
  <c r="F630" i="1" s="1"/>
  <c r="C631" i="1"/>
  <c r="D631" i="1" s="1"/>
  <c r="F631" i="1" s="1"/>
  <c r="C632" i="1"/>
  <c r="D632" i="1" s="1"/>
  <c r="F632" i="1" s="1"/>
  <c r="C633" i="1"/>
  <c r="E633" i="1" s="1"/>
  <c r="C634" i="1"/>
  <c r="D634" i="1" s="1"/>
  <c r="F634" i="1" s="1"/>
  <c r="C635" i="1"/>
  <c r="E635" i="1" s="1"/>
  <c r="C636" i="1"/>
  <c r="E636" i="1" s="1"/>
  <c r="C637" i="1"/>
  <c r="E637" i="1" s="1"/>
  <c r="C638" i="1"/>
  <c r="D638" i="1" s="1"/>
  <c r="F638" i="1" s="1"/>
  <c r="C639" i="1"/>
  <c r="D639" i="1" s="1"/>
  <c r="F639" i="1" s="1"/>
  <c r="C640" i="1"/>
  <c r="D640" i="1" s="1"/>
  <c r="F640" i="1" s="1"/>
  <c r="C641" i="1"/>
  <c r="E641" i="1" s="1"/>
  <c r="C642" i="1"/>
  <c r="D642" i="1" s="1"/>
  <c r="F642" i="1" s="1"/>
  <c r="C643" i="1"/>
  <c r="D643" i="1" s="1"/>
  <c r="F643" i="1" s="1"/>
  <c r="C644" i="1"/>
  <c r="D644" i="1" s="1"/>
  <c r="F644" i="1" s="1"/>
  <c r="C645" i="1"/>
  <c r="D645" i="1" s="1"/>
  <c r="F645" i="1" s="1"/>
  <c r="C646" i="1"/>
  <c r="D646" i="1" s="1"/>
  <c r="F646" i="1" s="1"/>
  <c r="C647" i="1"/>
  <c r="E647" i="1" s="1"/>
  <c r="C648" i="1"/>
  <c r="D648" i="1" s="1"/>
  <c r="F648" i="1" s="1"/>
  <c r="C649" i="1"/>
  <c r="D649" i="1" s="1"/>
  <c r="F649" i="1" s="1"/>
  <c r="C650" i="1"/>
  <c r="E650" i="1" s="1"/>
  <c r="C651" i="1"/>
  <c r="D651" i="1" s="1"/>
  <c r="F651" i="1" s="1"/>
  <c r="C652" i="1"/>
  <c r="D652" i="1" s="1"/>
  <c r="F652" i="1" s="1"/>
  <c r="C653" i="1"/>
  <c r="D653" i="1" s="1"/>
  <c r="F653" i="1" s="1"/>
  <c r="C654" i="1"/>
  <c r="D654" i="1" s="1"/>
  <c r="F654" i="1" s="1"/>
  <c r="E654" i="1"/>
  <c r="C655" i="1"/>
  <c r="D655" i="1" s="1"/>
  <c r="F655" i="1" s="1"/>
  <c r="C656" i="1"/>
  <c r="D656" i="1" s="1"/>
  <c r="F656" i="1" s="1"/>
  <c r="C657" i="1"/>
  <c r="E657" i="1" s="1"/>
  <c r="C658" i="1"/>
  <c r="D658" i="1" s="1"/>
  <c r="F658" i="1" s="1"/>
  <c r="C659" i="1"/>
  <c r="D659" i="1" s="1"/>
  <c r="F659" i="1" s="1"/>
  <c r="C660" i="1"/>
  <c r="E660" i="1" s="1"/>
  <c r="C661" i="1"/>
  <c r="E661" i="1" s="1"/>
  <c r="C662" i="1"/>
  <c r="E662" i="1" s="1"/>
  <c r="C663" i="1"/>
  <c r="D663" i="1" s="1"/>
  <c r="F663" i="1" s="1"/>
  <c r="C664" i="1"/>
  <c r="D664" i="1" s="1"/>
  <c r="F664" i="1" s="1"/>
  <c r="C665" i="1"/>
  <c r="D665" i="1" s="1"/>
  <c r="F665" i="1" s="1"/>
  <c r="C666" i="1"/>
  <c r="D666" i="1" s="1"/>
  <c r="F666" i="1" s="1"/>
  <c r="C667" i="1"/>
  <c r="D667" i="1" s="1"/>
  <c r="F667" i="1" s="1"/>
  <c r="C668" i="1"/>
  <c r="E668" i="1" s="1"/>
  <c r="C669" i="1"/>
  <c r="E669" i="1" s="1"/>
  <c r="C670" i="1"/>
  <c r="D670" i="1" s="1"/>
  <c r="F670" i="1" s="1"/>
  <c r="C671" i="1"/>
  <c r="E671" i="1" s="1"/>
  <c r="C672" i="1"/>
  <c r="D672" i="1" s="1"/>
  <c r="F672" i="1" s="1"/>
  <c r="C673" i="1"/>
  <c r="D673" i="1" s="1"/>
  <c r="F673" i="1" s="1"/>
  <c r="E673" i="1"/>
  <c r="C674" i="1"/>
  <c r="D674" i="1" s="1"/>
  <c r="F674" i="1" s="1"/>
  <c r="C3" i="1"/>
  <c r="D3" i="1" s="1"/>
  <c r="F3" i="1" s="1"/>
  <c r="C4" i="1"/>
  <c r="D4" i="1" s="1"/>
  <c r="F4" i="1" s="1"/>
  <c r="C5" i="1"/>
  <c r="C6" i="1"/>
  <c r="C7" i="1"/>
  <c r="D7" i="1" s="1"/>
  <c r="F7" i="1" s="1"/>
  <c r="C8" i="1"/>
  <c r="E8" i="1" s="1"/>
  <c r="C9" i="1"/>
  <c r="D9" i="1" s="1"/>
  <c r="F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D15" i="1" s="1"/>
  <c r="F15" i="1" s="1"/>
  <c r="C16" i="1"/>
  <c r="D16" i="1" s="1"/>
  <c r="F16" i="1" s="1"/>
  <c r="C17" i="1"/>
  <c r="C18" i="1"/>
  <c r="C19" i="1"/>
  <c r="D19" i="1" s="1"/>
  <c r="F19" i="1" s="1"/>
  <c r="C20" i="1"/>
  <c r="D20" i="1" s="1"/>
  <c r="F20" i="1" s="1"/>
  <c r="C21" i="1"/>
  <c r="D21" i="1" s="1"/>
  <c r="F21" i="1" s="1"/>
  <c r="C22" i="1"/>
  <c r="D22" i="1" s="1"/>
  <c r="F22" i="1" s="1"/>
  <c r="C23" i="1"/>
  <c r="E23" i="1" s="1"/>
  <c r="C24" i="1"/>
  <c r="E24" i="1" s="1"/>
  <c r="C25" i="1"/>
  <c r="E25" i="1" s="1"/>
  <c r="C26" i="1"/>
  <c r="E26" i="1" s="1"/>
  <c r="C27" i="1"/>
  <c r="D27" i="1" s="1"/>
  <c r="F27" i="1" s="1"/>
  <c r="C28" i="1"/>
  <c r="D28" i="1" s="1"/>
  <c r="F28" i="1" s="1"/>
  <c r="C29" i="1"/>
  <c r="C30" i="1"/>
  <c r="C31" i="1"/>
  <c r="D31" i="1" s="1"/>
  <c r="F31" i="1" s="1"/>
  <c r="C32" i="1"/>
  <c r="D32" i="1" s="1"/>
  <c r="F32" i="1" s="1"/>
  <c r="C33" i="1"/>
  <c r="D33" i="1" s="1"/>
  <c r="F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D39" i="1" s="1"/>
  <c r="F39" i="1" s="1"/>
  <c r="C40" i="1"/>
  <c r="D40" i="1" s="1"/>
  <c r="F40" i="1" s="1"/>
  <c r="C41" i="1"/>
  <c r="D41" i="1" s="1"/>
  <c r="F41" i="1" s="1"/>
  <c r="C42" i="1"/>
  <c r="D42" i="1" s="1"/>
  <c r="F42" i="1" s="1"/>
  <c r="C43" i="1"/>
  <c r="D43" i="1" s="1"/>
  <c r="F43" i="1" s="1"/>
  <c r="C44" i="1"/>
  <c r="D44" i="1" s="1"/>
  <c r="F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D51" i="1" s="1"/>
  <c r="F51" i="1" s="1"/>
  <c r="C52" i="1"/>
  <c r="D52" i="1" s="1"/>
  <c r="F52" i="1" s="1"/>
  <c r="C53" i="1"/>
  <c r="D53" i="1" s="1"/>
  <c r="F53" i="1" s="1"/>
  <c r="C54" i="1"/>
  <c r="D54" i="1" s="1"/>
  <c r="F54" i="1" s="1"/>
  <c r="C55" i="1"/>
  <c r="E55" i="1" s="1"/>
  <c r="C56" i="1"/>
  <c r="D56" i="1" s="1"/>
  <c r="F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D63" i="1" s="1"/>
  <c r="F63" i="1" s="1"/>
  <c r="C64" i="1"/>
  <c r="D64" i="1" s="1"/>
  <c r="F64" i="1" s="1"/>
  <c r="C65" i="1"/>
  <c r="D65" i="1" s="1"/>
  <c r="F65" i="1" s="1"/>
  <c r="C66" i="1"/>
  <c r="D66" i="1" s="1"/>
  <c r="F66" i="1" s="1"/>
  <c r="C67" i="1"/>
  <c r="E67" i="1" s="1"/>
  <c r="C68" i="1"/>
  <c r="D68" i="1" s="1"/>
  <c r="F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D75" i="1" s="1"/>
  <c r="F75" i="1" s="1"/>
  <c r="C76" i="1"/>
  <c r="D76" i="1" s="1"/>
  <c r="F76" i="1" s="1"/>
  <c r="C77" i="1"/>
  <c r="D77" i="1" s="1"/>
  <c r="F77" i="1" s="1"/>
  <c r="C78" i="1"/>
  <c r="D78" i="1" s="1"/>
  <c r="F78" i="1" s="1"/>
  <c r="C79" i="1"/>
  <c r="E79" i="1" s="1"/>
  <c r="C80" i="1"/>
  <c r="D80" i="1" s="1"/>
  <c r="F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D87" i="1" s="1"/>
  <c r="F87" i="1" s="1"/>
  <c r="C88" i="1"/>
  <c r="D88" i="1" s="1"/>
  <c r="F88" i="1" s="1"/>
  <c r="C89" i="1"/>
  <c r="D89" i="1" s="1"/>
  <c r="F89" i="1" s="1"/>
  <c r="C90" i="1"/>
  <c r="D90" i="1" s="1"/>
  <c r="F90" i="1" s="1"/>
  <c r="C91" i="1"/>
  <c r="D91" i="1" s="1"/>
  <c r="F91" i="1" s="1"/>
  <c r="C92" i="1"/>
  <c r="D92" i="1" s="1"/>
  <c r="F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D99" i="1" s="1"/>
  <c r="F99" i="1" s="1"/>
  <c r="C100" i="1"/>
  <c r="D100" i="1" s="1"/>
  <c r="F100" i="1" s="1"/>
  <c r="C101" i="1"/>
  <c r="D101" i="1" s="1"/>
  <c r="F101" i="1" s="1"/>
  <c r="C102" i="1"/>
  <c r="D102" i="1" s="1"/>
  <c r="F102" i="1" s="1"/>
  <c r="C103" i="1"/>
  <c r="E103" i="1" s="1"/>
  <c r="C104" i="1"/>
  <c r="D104" i="1" s="1"/>
  <c r="F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D111" i="1" s="1"/>
  <c r="F111" i="1" s="1"/>
  <c r="C112" i="1"/>
  <c r="D112" i="1" s="1"/>
  <c r="F112" i="1" s="1"/>
  <c r="C113" i="1"/>
  <c r="D113" i="1" s="1"/>
  <c r="F113" i="1" s="1"/>
  <c r="C114" i="1"/>
  <c r="D114" i="1" s="1"/>
  <c r="F114" i="1" s="1"/>
  <c r="C115" i="1"/>
  <c r="D115" i="1" s="1"/>
  <c r="F115" i="1" s="1"/>
  <c r="C116" i="1"/>
  <c r="D116" i="1" s="1"/>
  <c r="F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D123" i="1" s="1"/>
  <c r="F123" i="1" s="1"/>
  <c r="C124" i="1"/>
  <c r="D124" i="1" s="1"/>
  <c r="F124" i="1" s="1"/>
  <c r="C125" i="1"/>
  <c r="D125" i="1" s="1"/>
  <c r="F125" i="1" s="1"/>
  <c r="C126" i="1"/>
  <c r="D126" i="1" s="1"/>
  <c r="F126" i="1" s="1"/>
  <c r="C127" i="1"/>
  <c r="D127" i="1" s="1"/>
  <c r="F127" i="1" s="1"/>
  <c r="C128" i="1"/>
  <c r="D128" i="1" s="1"/>
  <c r="F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D135" i="1" s="1"/>
  <c r="F135" i="1" s="1"/>
  <c r="C136" i="1"/>
  <c r="D136" i="1" s="1"/>
  <c r="F136" i="1" s="1"/>
  <c r="C137" i="1"/>
  <c r="D137" i="1" s="1"/>
  <c r="F137" i="1" s="1"/>
  <c r="C138" i="1"/>
  <c r="D138" i="1" s="1"/>
  <c r="F138" i="1" s="1"/>
  <c r="C139" i="1"/>
  <c r="E139" i="1" s="1"/>
  <c r="C140" i="1"/>
  <c r="D140" i="1" s="1"/>
  <c r="F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D147" i="1" s="1"/>
  <c r="F147" i="1" s="1"/>
  <c r="C148" i="1"/>
  <c r="D148" i="1" s="1"/>
  <c r="F148" i="1" s="1"/>
  <c r="C149" i="1"/>
  <c r="D149" i="1" s="1"/>
  <c r="F149" i="1" s="1"/>
  <c r="C150" i="1"/>
  <c r="D150" i="1" s="1"/>
  <c r="F150" i="1" s="1"/>
  <c r="C151" i="1"/>
  <c r="D151" i="1" s="1"/>
  <c r="F151" i="1" s="1"/>
  <c r="C152" i="1"/>
  <c r="D152" i="1" s="1"/>
  <c r="F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D159" i="1" s="1"/>
  <c r="F159" i="1" s="1"/>
  <c r="C160" i="1"/>
  <c r="D160" i="1" s="1"/>
  <c r="F160" i="1" s="1"/>
  <c r="C161" i="1"/>
  <c r="D161" i="1" s="1"/>
  <c r="F161" i="1" s="1"/>
  <c r="C162" i="1"/>
  <c r="D162" i="1" s="1"/>
  <c r="F162" i="1" s="1"/>
  <c r="C163" i="1"/>
  <c r="E163" i="1" s="1"/>
  <c r="C164" i="1"/>
  <c r="D164" i="1" s="1"/>
  <c r="F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D171" i="1" s="1"/>
  <c r="F171" i="1" s="1"/>
  <c r="C172" i="1"/>
  <c r="D172" i="1" s="1"/>
  <c r="F172" i="1" s="1"/>
  <c r="C173" i="1"/>
  <c r="D173" i="1" s="1"/>
  <c r="F173" i="1" s="1"/>
  <c r="C174" i="1"/>
  <c r="D174" i="1" s="1"/>
  <c r="F174" i="1" s="1"/>
  <c r="C175" i="1"/>
  <c r="E175" i="1" s="1"/>
  <c r="C176" i="1"/>
  <c r="D176" i="1" s="1"/>
  <c r="F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D183" i="1" s="1"/>
  <c r="F183" i="1" s="1"/>
  <c r="C184" i="1"/>
  <c r="D184" i="1" s="1"/>
  <c r="F184" i="1" s="1"/>
  <c r="C185" i="1"/>
  <c r="D185" i="1" s="1"/>
  <c r="F185" i="1" s="1"/>
  <c r="C186" i="1"/>
  <c r="D186" i="1" s="1"/>
  <c r="F186" i="1" s="1"/>
  <c r="C187" i="1"/>
  <c r="D187" i="1" s="1"/>
  <c r="F187" i="1" s="1"/>
  <c r="C188" i="1"/>
  <c r="D188" i="1" s="1"/>
  <c r="F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D195" i="1" s="1"/>
  <c r="F195" i="1" s="1"/>
  <c r="C196" i="1"/>
  <c r="D196" i="1" s="1"/>
  <c r="F196" i="1" s="1"/>
  <c r="C197" i="1"/>
  <c r="D197" i="1" s="1"/>
  <c r="F197" i="1" s="1"/>
  <c r="C198" i="1"/>
  <c r="D198" i="1" s="1"/>
  <c r="F198" i="1" s="1"/>
  <c r="C199" i="1"/>
  <c r="E199" i="1" s="1"/>
  <c r="C200" i="1"/>
  <c r="D200" i="1" s="1"/>
  <c r="F200" i="1" s="1"/>
  <c r="C201" i="1"/>
  <c r="E201" i="1" s="1"/>
  <c r="C202" i="1"/>
  <c r="E202" i="1" s="1"/>
  <c r="E373" i="1" l="1"/>
  <c r="D668" i="1"/>
  <c r="F668" i="1" s="1"/>
  <c r="D600" i="1"/>
  <c r="F600" i="1" s="1"/>
  <c r="D289" i="1"/>
  <c r="F289" i="1" s="1"/>
  <c r="D627" i="1"/>
  <c r="F627" i="1" s="1"/>
  <c r="E481" i="1"/>
  <c r="D329" i="1"/>
  <c r="F329" i="1" s="1"/>
  <c r="G329" i="1" s="1"/>
  <c r="M329" i="1" s="1"/>
  <c r="D636" i="1"/>
  <c r="F636" i="1" s="1"/>
  <c r="G636" i="1" s="1"/>
  <c r="M636" i="1" s="1"/>
  <c r="D593" i="1"/>
  <c r="F593" i="1" s="1"/>
  <c r="G593" i="1" s="1"/>
  <c r="M593" i="1" s="1"/>
  <c r="D561" i="1"/>
  <c r="F561" i="1" s="1"/>
  <c r="G561" i="1" s="1"/>
  <c r="M561" i="1" s="1"/>
  <c r="E504" i="1"/>
  <c r="G504" i="1" s="1"/>
  <c r="M504" i="1" s="1"/>
  <c r="E322" i="1"/>
  <c r="G322" i="1" s="1"/>
  <c r="M322" i="1" s="1"/>
  <c r="D662" i="1"/>
  <c r="F662" i="1" s="1"/>
  <c r="G662" i="1" s="1"/>
  <c r="M662" i="1" s="1"/>
  <c r="D564" i="1"/>
  <c r="F564" i="1" s="1"/>
  <c r="G564" i="1" s="1"/>
  <c r="M564" i="1" s="1"/>
  <c r="E324" i="1"/>
  <c r="G324" i="1" s="1"/>
  <c r="M324" i="1" s="1"/>
  <c r="D290" i="1"/>
  <c r="F290" i="1" s="1"/>
  <c r="G290" i="1" s="1"/>
  <c r="M290" i="1" s="1"/>
  <c r="D249" i="1"/>
  <c r="F249" i="1" s="1"/>
  <c r="G249" i="1" s="1"/>
  <c r="M249" i="1" s="1"/>
  <c r="E638" i="1"/>
  <c r="G638" i="1" s="1"/>
  <c r="M638" i="1" s="1"/>
  <c r="E630" i="1"/>
  <c r="D602" i="1"/>
  <c r="F602" i="1" s="1"/>
  <c r="G602" i="1" s="1"/>
  <c r="M602" i="1" s="1"/>
  <c r="D391" i="1"/>
  <c r="F391" i="1" s="1"/>
  <c r="G391" i="1" s="1"/>
  <c r="M391" i="1" s="1"/>
  <c r="E381" i="1"/>
  <c r="G381" i="1" s="1"/>
  <c r="M381" i="1" s="1"/>
  <c r="D348" i="1"/>
  <c r="F348" i="1" s="1"/>
  <c r="G348" i="1" s="1"/>
  <c r="M348" i="1" s="1"/>
  <c r="D276" i="1"/>
  <c r="F276" i="1" s="1"/>
  <c r="G276" i="1" s="1"/>
  <c r="M276" i="1" s="1"/>
  <c r="D256" i="1"/>
  <c r="F256" i="1" s="1"/>
  <c r="G256" i="1" s="1"/>
  <c r="M256" i="1" s="1"/>
  <c r="E645" i="1"/>
  <c r="G645" i="1" s="1"/>
  <c r="M645" i="1" s="1"/>
  <c r="E469" i="1"/>
  <c r="G469" i="1" s="1"/>
  <c r="M469" i="1" s="1"/>
  <c r="D568" i="1"/>
  <c r="F568" i="1" s="1"/>
  <c r="G568" i="1" s="1"/>
  <c r="M568" i="1" s="1"/>
  <c r="D529" i="1"/>
  <c r="F529" i="1" s="1"/>
  <c r="G529" i="1" s="1"/>
  <c r="M529" i="1" s="1"/>
  <c r="D486" i="1"/>
  <c r="F486" i="1" s="1"/>
  <c r="G486" i="1" s="1"/>
  <c r="M486" i="1" s="1"/>
  <c r="G420" i="1"/>
  <c r="M420" i="1" s="1"/>
  <c r="D312" i="1"/>
  <c r="F312" i="1" s="1"/>
  <c r="G312" i="1" s="1"/>
  <c r="M312" i="1" s="1"/>
  <c r="E252" i="1"/>
  <c r="G252" i="1" s="1"/>
  <c r="M252" i="1" s="1"/>
  <c r="D219" i="1"/>
  <c r="F219" i="1" s="1"/>
  <c r="G219" i="1" s="1"/>
  <c r="M219" i="1" s="1"/>
  <c r="D626" i="1"/>
  <c r="F626" i="1" s="1"/>
  <c r="G626" i="1" s="1"/>
  <c r="M626" i="1" s="1"/>
  <c r="E559" i="1"/>
  <c r="G559" i="1" s="1"/>
  <c r="M559" i="1" s="1"/>
  <c r="D386" i="1"/>
  <c r="F386" i="1" s="1"/>
  <c r="G386" i="1" s="1"/>
  <c r="M386" i="1" s="1"/>
  <c r="D660" i="1"/>
  <c r="F660" i="1" s="1"/>
  <c r="G660" i="1" s="1"/>
  <c r="M660" i="1" s="1"/>
  <c r="E640" i="1"/>
  <c r="G640" i="1" s="1"/>
  <c r="M640" i="1" s="1"/>
  <c r="E634" i="1"/>
  <c r="G634" i="1" s="1"/>
  <c r="M634" i="1" s="1"/>
  <c r="E516" i="1"/>
  <c r="G516" i="1" s="1"/>
  <c r="M516" i="1" s="1"/>
  <c r="E418" i="1"/>
  <c r="G418" i="1" s="1"/>
  <c r="M418" i="1" s="1"/>
  <c r="D364" i="1"/>
  <c r="F364" i="1" s="1"/>
  <c r="G364" i="1" s="1"/>
  <c r="M364" i="1" s="1"/>
  <c r="E585" i="1"/>
  <c r="G585" i="1" s="1"/>
  <c r="M585" i="1" s="1"/>
  <c r="E566" i="1"/>
  <c r="G566" i="1" s="1"/>
  <c r="M566" i="1" s="1"/>
  <c r="D279" i="1"/>
  <c r="F279" i="1" s="1"/>
  <c r="E639" i="1"/>
  <c r="G639" i="1" s="1"/>
  <c r="M639" i="1" s="1"/>
  <c r="G498" i="1"/>
  <c r="M498" i="1" s="1"/>
  <c r="E658" i="1"/>
  <c r="G658" i="1" s="1"/>
  <c r="M658" i="1" s="1"/>
  <c r="D613" i="1"/>
  <c r="F613" i="1" s="1"/>
  <c r="G613" i="1" s="1"/>
  <c r="M613" i="1" s="1"/>
  <c r="D603" i="1"/>
  <c r="F603" i="1" s="1"/>
  <c r="G603" i="1" s="1"/>
  <c r="M603" i="1" s="1"/>
  <c r="D584" i="1"/>
  <c r="F584" i="1" s="1"/>
  <c r="G584" i="1" s="1"/>
  <c r="M584" i="1" s="1"/>
  <c r="E545" i="1"/>
  <c r="G545" i="1" s="1"/>
  <c r="M545" i="1" s="1"/>
  <c r="E425" i="1"/>
  <c r="G425" i="1" s="1"/>
  <c r="M425" i="1" s="1"/>
  <c r="D339" i="1"/>
  <c r="F339" i="1" s="1"/>
  <c r="G339" i="1" s="1"/>
  <c r="M339" i="1" s="1"/>
  <c r="E267" i="1"/>
  <c r="G267" i="1" s="1"/>
  <c r="M267" i="1" s="1"/>
  <c r="E577" i="1"/>
  <c r="G577" i="1" s="1"/>
  <c r="M577" i="1" s="1"/>
  <c r="E314" i="1"/>
  <c r="D669" i="1"/>
  <c r="F669" i="1" s="1"/>
  <c r="G669" i="1" s="1"/>
  <c r="M669" i="1" s="1"/>
  <c r="D661" i="1"/>
  <c r="F661" i="1" s="1"/>
  <c r="G661" i="1" s="1"/>
  <c r="M661" i="1" s="1"/>
  <c r="D594" i="1"/>
  <c r="F594" i="1" s="1"/>
  <c r="G594" i="1" s="1"/>
  <c r="M594" i="1" s="1"/>
  <c r="D495" i="1"/>
  <c r="F495" i="1" s="1"/>
  <c r="G495" i="1" s="1"/>
  <c r="M495" i="1" s="1"/>
  <c r="E457" i="1"/>
  <c r="G457" i="1" s="1"/>
  <c r="M457" i="1" s="1"/>
  <c r="E448" i="1"/>
  <c r="G448" i="1" s="1"/>
  <c r="M448" i="1" s="1"/>
  <c r="D428" i="1"/>
  <c r="F428" i="1" s="1"/>
  <c r="G428" i="1" s="1"/>
  <c r="M428" i="1" s="1"/>
  <c r="D403" i="1"/>
  <c r="F403" i="1" s="1"/>
  <c r="E394" i="1"/>
  <c r="G394" i="1" s="1"/>
  <c r="M394" i="1" s="1"/>
  <c r="D260" i="1"/>
  <c r="F260" i="1" s="1"/>
  <c r="G260" i="1" s="1"/>
  <c r="M260" i="1" s="1"/>
  <c r="E651" i="1"/>
  <c r="D641" i="1"/>
  <c r="F641" i="1" s="1"/>
  <c r="G641" i="1" s="1"/>
  <c r="M641" i="1" s="1"/>
  <c r="E522" i="1"/>
  <c r="G522" i="1" s="1"/>
  <c r="M522" i="1" s="1"/>
  <c r="E493" i="1"/>
  <c r="G493" i="1" s="1"/>
  <c r="M493" i="1" s="1"/>
  <c r="D485" i="1"/>
  <c r="F485" i="1" s="1"/>
  <c r="G485" i="1" s="1"/>
  <c r="M485" i="1" s="1"/>
  <c r="D455" i="1"/>
  <c r="F455" i="1" s="1"/>
  <c r="G455" i="1" s="1"/>
  <c r="M455" i="1" s="1"/>
  <c r="E436" i="1"/>
  <c r="G436" i="1" s="1"/>
  <c r="M436" i="1" s="1"/>
  <c r="D426" i="1"/>
  <c r="F426" i="1" s="1"/>
  <c r="G426" i="1" s="1"/>
  <c r="M426" i="1" s="1"/>
  <c r="E419" i="1"/>
  <c r="G419" i="1" s="1"/>
  <c r="M419" i="1" s="1"/>
  <c r="D401" i="1"/>
  <c r="F401" i="1" s="1"/>
  <c r="G401" i="1" s="1"/>
  <c r="M401" i="1" s="1"/>
  <c r="E392" i="1"/>
  <c r="G392" i="1" s="1"/>
  <c r="M392" i="1" s="1"/>
  <c r="D283" i="1"/>
  <c r="F283" i="1" s="1"/>
  <c r="G283" i="1" s="1"/>
  <c r="M283" i="1" s="1"/>
  <c r="D238" i="1"/>
  <c r="F238" i="1" s="1"/>
  <c r="G238" i="1" s="1"/>
  <c r="M238" i="1" s="1"/>
  <c r="E672" i="1"/>
  <c r="G672" i="1" s="1"/>
  <c r="M672" i="1" s="1"/>
  <c r="E665" i="1"/>
  <c r="G665" i="1" s="1"/>
  <c r="M665" i="1" s="1"/>
  <c r="D565" i="1"/>
  <c r="F565" i="1" s="1"/>
  <c r="G565" i="1" s="1"/>
  <c r="M565" i="1" s="1"/>
  <c r="D548" i="1"/>
  <c r="F548" i="1" s="1"/>
  <c r="G548" i="1" s="1"/>
  <c r="M548" i="1" s="1"/>
  <c r="D539" i="1"/>
  <c r="F539" i="1" s="1"/>
  <c r="G539" i="1" s="1"/>
  <c r="M539" i="1" s="1"/>
  <c r="E491" i="1"/>
  <c r="G491" i="1" s="1"/>
  <c r="M491" i="1" s="1"/>
  <c r="D453" i="1"/>
  <c r="F453" i="1" s="1"/>
  <c r="G453" i="1" s="1"/>
  <c r="M453" i="1" s="1"/>
  <c r="D407" i="1"/>
  <c r="F407" i="1" s="1"/>
  <c r="G407" i="1" s="1"/>
  <c r="M407" i="1" s="1"/>
  <c r="E370" i="1"/>
  <c r="E225" i="1"/>
  <c r="G225" i="1" s="1"/>
  <c r="M225" i="1" s="1"/>
  <c r="D657" i="1"/>
  <c r="F657" i="1" s="1"/>
  <c r="G657" i="1" s="1"/>
  <c r="M657" i="1" s="1"/>
  <c r="E606" i="1"/>
  <c r="G606" i="1" s="1"/>
  <c r="M606" i="1" s="1"/>
  <c r="E558" i="1"/>
  <c r="G558" i="1" s="1"/>
  <c r="M558" i="1" s="1"/>
  <c r="D461" i="1"/>
  <c r="F461" i="1" s="1"/>
  <c r="G461" i="1" s="1"/>
  <c r="M461" i="1" s="1"/>
  <c r="D442" i="1"/>
  <c r="F442" i="1" s="1"/>
  <c r="G442" i="1" s="1"/>
  <c r="M442" i="1" s="1"/>
  <c r="E255" i="1"/>
  <c r="G255" i="1" s="1"/>
  <c r="M255" i="1" s="1"/>
  <c r="E571" i="1"/>
  <c r="G571" i="1" s="1"/>
  <c r="M571" i="1" s="1"/>
  <c r="E518" i="1"/>
  <c r="G518" i="1" s="1"/>
  <c r="M518" i="1" s="1"/>
  <c r="E337" i="1"/>
  <c r="G337" i="1" s="1"/>
  <c r="M337" i="1" s="1"/>
  <c r="D287" i="1"/>
  <c r="F287" i="1" s="1"/>
  <c r="G287" i="1" s="1"/>
  <c r="M287" i="1" s="1"/>
  <c r="D271" i="1"/>
  <c r="F271" i="1" s="1"/>
  <c r="E214" i="1"/>
  <c r="G214" i="1" s="1"/>
  <c r="M214" i="1" s="1"/>
  <c r="D671" i="1"/>
  <c r="F671" i="1" s="1"/>
  <c r="G671" i="1" s="1"/>
  <c r="M671" i="1" s="1"/>
  <c r="D622" i="1"/>
  <c r="F622" i="1" s="1"/>
  <c r="G622" i="1" s="1"/>
  <c r="M622" i="1" s="1"/>
  <c r="E596" i="1"/>
  <c r="G596" i="1" s="1"/>
  <c r="M596" i="1" s="1"/>
  <c r="D578" i="1"/>
  <c r="F578" i="1" s="1"/>
  <c r="G578" i="1" s="1"/>
  <c r="M578" i="1" s="1"/>
  <c r="D537" i="1"/>
  <c r="F537" i="1" s="1"/>
  <c r="G537" i="1" s="1"/>
  <c r="M537" i="1" s="1"/>
  <c r="D507" i="1"/>
  <c r="F507" i="1" s="1"/>
  <c r="G507" i="1" s="1"/>
  <c r="M507" i="1" s="1"/>
  <c r="D441" i="1"/>
  <c r="F441" i="1" s="1"/>
  <c r="G441" i="1" s="1"/>
  <c r="M441" i="1" s="1"/>
  <c r="D422" i="1"/>
  <c r="F422" i="1" s="1"/>
  <c r="G422" i="1" s="1"/>
  <c r="M422" i="1" s="1"/>
  <c r="E405" i="1"/>
  <c r="G405" i="1" s="1"/>
  <c r="M405" i="1" s="1"/>
  <c r="D396" i="1"/>
  <c r="F396" i="1" s="1"/>
  <c r="E357" i="1"/>
  <c r="G357" i="1" s="1"/>
  <c r="M357" i="1" s="1"/>
  <c r="E655" i="1"/>
  <c r="G655" i="1" s="1"/>
  <c r="M655" i="1" s="1"/>
  <c r="E253" i="1"/>
  <c r="G253" i="1" s="1"/>
  <c r="M253" i="1" s="1"/>
  <c r="E616" i="1"/>
  <c r="G616" i="1" s="1"/>
  <c r="M616" i="1" s="1"/>
  <c r="D533" i="1"/>
  <c r="F533" i="1" s="1"/>
  <c r="G533" i="1" s="1"/>
  <c r="M533" i="1" s="1"/>
  <c r="E445" i="1"/>
  <c r="G445" i="1" s="1"/>
  <c r="M445" i="1" s="1"/>
  <c r="D412" i="1"/>
  <c r="F412" i="1" s="1"/>
  <c r="G412" i="1" s="1"/>
  <c r="M412" i="1" s="1"/>
  <c r="D383" i="1"/>
  <c r="F383" i="1" s="1"/>
  <c r="G383" i="1" s="1"/>
  <c r="M383" i="1" s="1"/>
  <c r="E345" i="1"/>
  <c r="G345" i="1" s="1"/>
  <c r="M345" i="1" s="1"/>
  <c r="E327" i="1"/>
  <c r="G327" i="1" s="1"/>
  <c r="M327" i="1" s="1"/>
  <c r="E497" i="1"/>
  <c r="G497" i="1" s="1"/>
  <c r="M497" i="1" s="1"/>
  <c r="G396" i="1"/>
  <c r="M396" i="1" s="1"/>
  <c r="D382" i="1"/>
  <c r="F382" i="1" s="1"/>
  <c r="G382" i="1" s="1"/>
  <c r="M382" i="1" s="1"/>
  <c r="D333" i="1"/>
  <c r="F333" i="1" s="1"/>
  <c r="G333" i="1" s="1"/>
  <c r="M333" i="1" s="1"/>
  <c r="E325" i="1"/>
  <c r="G325" i="1" s="1"/>
  <c r="M325" i="1" s="1"/>
  <c r="D297" i="1"/>
  <c r="F297" i="1" s="1"/>
  <c r="G297" i="1" s="1"/>
  <c r="M297" i="1" s="1"/>
  <c r="D282" i="1"/>
  <c r="F282" i="1" s="1"/>
  <c r="G282" i="1" s="1"/>
  <c r="M282" i="1" s="1"/>
  <c r="E275" i="1"/>
  <c r="G275" i="1" s="1"/>
  <c r="M275" i="1" s="1"/>
  <c r="D226" i="1"/>
  <c r="F226" i="1" s="1"/>
  <c r="G226" i="1" s="1"/>
  <c r="M226" i="1" s="1"/>
  <c r="D208" i="1"/>
  <c r="F208" i="1" s="1"/>
  <c r="G208" i="1" s="1"/>
  <c r="M208" i="1" s="1"/>
  <c r="E621" i="1"/>
  <c r="G621" i="1" s="1"/>
  <c r="M621" i="1" s="1"/>
  <c r="D614" i="1"/>
  <c r="F614" i="1" s="1"/>
  <c r="G614" i="1" s="1"/>
  <c r="M614" i="1" s="1"/>
  <c r="E553" i="1"/>
  <c r="G553" i="1" s="1"/>
  <c r="M553" i="1" s="1"/>
  <c r="D530" i="1"/>
  <c r="F530" i="1" s="1"/>
  <c r="G530" i="1" s="1"/>
  <c r="M530" i="1" s="1"/>
  <c r="E521" i="1"/>
  <c r="G521" i="1" s="1"/>
  <c r="M521" i="1" s="1"/>
  <c r="E512" i="1"/>
  <c r="G512" i="1" s="1"/>
  <c r="M512" i="1" s="1"/>
  <c r="E451" i="1"/>
  <c r="G451" i="1" s="1"/>
  <c r="M451" i="1" s="1"/>
  <c r="E402" i="1"/>
  <c r="G402" i="1" s="1"/>
  <c r="M402" i="1" s="1"/>
  <c r="D395" i="1"/>
  <c r="F395" i="1" s="1"/>
  <c r="G395" i="1" s="1"/>
  <c r="M395" i="1" s="1"/>
  <c r="E389" i="1"/>
  <c r="G389" i="1" s="1"/>
  <c r="M389" i="1" s="1"/>
  <c r="D362" i="1"/>
  <c r="F362" i="1" s="1"/>
  <c r="G362" i="1" s="1"/>
  <c r="M362" i="1" s="1"/>
  <c r="D315" i="1"/>
  <c r="F315" i="1" s="1"/>
  <c r="G315" i="1" s="1"/>
  <c r="M315" i="1" s="1"/>
  <c r="E307" i="1"/>
  <c r="G307" i="1" s="1"/>
  <c r="M307" i="1" s="1"/>
  <c r="E234" i="1"/>
  <c r="G234" i="1" s="1"/>
  <c r="M234" i="1" s="1"/>
  <c r="D546" i="1"/>
  <c r="F546" i="1" s="1"/>
  <c r="G546" i="1" s="1"/>
  <c r="M546" i="1" s="1"/>
  <c r="D502" i="1"/>
  <c r="F502" i="1" s="1"/>
  <c r="G502" i="1" s="1"/>
  <c r="M502" i="1" s="1"/>
  <c r="G370" i="1"/>
  <c r="M370" i="1" s="1"/>
  <c r="E240" i="1"/>
  <c r="G240" i="1" s="1"/>
  <c r="M240" i="1" s="1"/>
  <c r="E500" i="1"/>
  <c r="G500" i="1" s="1"/>
  <c r="M500" i="1" s="1"/>
  <c r="E414" i="1"/>
  <c r="G414" i="1" s="1"/>
  <c r="M414" i="1" s="1"/>
  <c r="E400" i="1"/>
  <c r="G400" i="1" s="1"/>
  <c r="M400" i="1" s="1"/>
  <c r="D618" i="1"/>
  <c r="F618" i="1" s="1"/>
  <c r="G618" i="1" s="1"/>
  <c r="M618" i="1" s="1"/>
  <c r="E612" i="1"/>
  <c r="G612" i="1" s="1"/>
  <c r="M612" i="1" s="1"/>
  <c r="D550" i="1"/>
  <c r="F550" i="1" s="1"/>
  <c r="G550" i="1" s="1"/>
  <c r="M550" i="1" s="1"/>
  <c r="E406" i="1"/>
  <c r="G406" i="1" s="1"/>
  <c r="M406" i="1" s="1"/>
  <c r="E239" i="1"/>
  <c r="G239" i="1" s="1"/>
  <c r="M239" i="1" s="1"/>
  <c r="D230" i="1"/>
  <c r="F230" i="1" s="1"/>
  <c r="G230" i="1" s="1"/>
  <c r="M230" i="1" s="1"/>
  <c r="E628" i="1"/>
  <c r="G628" i="1" s="1"/>
  <c r="M628" i="1" s="1"/>
  <c r="E574" i="1"/>
  <c r="G574" i="1" s="1"/>
  <c r="M574" i="1" s="1"/>
  <c r="D316" i="1"/>
  <c r="F316" i="1" s="1"/>
  <c r="G316" i="1" s="1"/>
  <c r="M316" i="1" s="1"/>
  <c r="E210" i="1"/>
  <c r="G210" i="1" s="1"/>
  <c r="M210" i="1" s="1"/>
  <c r="E664" i="1"/>
  <c r="G664" i="1" s="1"/>
  <c r="M664" i="1" s="1"/>
  <c r="D609" i="1"/>
  <c r="F609" i="1" s="1"/>
  <c r="G609" i="1" s="1"/>
  <c r="M609" i="1" s="1"/>
  <c r="D587" i="1"/>
  <c r="F587" i="1" s="1"/>
  <c r="G587" i="1" s="1"/>
  <c r="M587" i="1" s="1"/>
  <c r="G581" i="1"/>
  <c r="M581" i="1" s="1"/>
  <c r="G540" i="1"/>
  <c r="M540" i="1" s="1"/>
  <c r="D532" i="1"/>
  <c r="F532" i="1" s="1"/>
  <c r="G532" i="1" s="1"/>
  <c r="M532" i="1" s="1"/>
  <c r="D525" i="1"/>
  <c r="F525" i="1" s="1"/>
  <c r="E517" i="1"/>
  <c r="G517" i="1" s="1"/>
  <c r="M517" i="1" s="1"/>
  <c r="E508" i="1"/>
  <c r="G508" i="1" s="1"/>
  <c r="M508" i="1" s="1"/>
  <c r="E501" i="1"/>
  <c r="G501" i="1" s="1"/>
  <c r="M501" i="1" s="1"/>
  <c r="D488" i="1"/>
  <c r="F488" i="1" s="1"/>
  <c r="G488" i="1" s="1"/>
  <c r="M488" i="1" s="1"/>
  <c r="D444" i="1"/>
  <c r="F444" i="1" s="1"/>
  <c r="G444" i="1" s="1"/>
  <c r="M444" i="1" s="1"/>
  <c r="D437" i="1"/>
  <c r="F437" i="1" s="1"/>
  <c r="G437" i="1" s="1"/>
  <c r="M437" i="1" s="1"/>
  <c r="E358" i="1"/>
  <c r="G358" i="1" s="1"/>
  <c r="M358" i="1" s="1"/>
  <c r="E340" i="1"/>
  <c r="G340" i="1" s="1"/>
  <c r="M340" i="1" s="1"/>
  <c r="D278" i="1"/>
  <c r="F278" i="1" s="1"/>
  <c r="G278" i="1" s="1"/>
  <c r="M278" i="1" s="1"/>
  <c r="G261" i="1"/>
  <c r="M261" i="1" s="1"/>
  <c r="G284" i="1"/>
  <c r="M284" i="1" s="1"/>
  <c r="E361" i="1"/>
  <c r="G654" i="1"/>
  <c r="M654" i="1" s="1"/>
  <c r="E623" i="1"/>
  <c r="G623" i="1" s="1"/>
  <c r="M623" i="1" s="1"/>
  <c r="D604" i="1"/>
  <c r="F604" i="1" s="1"/>
  <c r="G604" i="1" s="1"/>
  <c r="M604" i="1" s="1"/>
  <c r="E576" i="1"/>
  <c r="G576" i="1" s="1"/>
  <c r="M576" i="1" s="1"/>
  <c r="D570" i="1"/>
  <c r="F570" i="1" s="1"/>
  <c r="G570" i="1" s="1"/>
  <c r="M570" i="1" s="1"/>
  <c r="D549" i="1"/>
  <c r="F549" i="1" s="1"/>
  <c r="G549" i="1" s="1"/>
  <c r="M549" i="1" s="1"/>
  <c r="E527" i="1"/>
  <c r="G527" i="1" s="1"/>
  <c r="M527" i="1" s="1"/>
  <c r="E463" i="1"/>
  <c r="G463" i="1" s="1"/>
  <c r="M463" i="1" s="1"/>
  <c r="E440" i="1"/>
  <c r="G440" i="1" s="1"/>
  <c r="M440" i="1" s="1"/>
  <c r="D431" i="1"/>
  <c r="F431" i="1" s="1"/>
  <c r="G431" i="1" s="1"/>
  <c r="M431" i="1" s="1"/>
  <c r="E417" i="1"/>
  <c r="G417" i="1" s="1"/>
  <c r="M417" i="1" s="1"/>
  <c r="D411" i="1"/>
  <c r="F411" i="1" s="1"/>
  <c r="G411" i="1" s="1"/>
  <c r="M411" i="1" s="1"/>
  <c r="D404" i="1"/>
  <c r="F404" i="1" s="1"/>
  <c r="G404" i="1" s="1"/>
  <c r="M404" i="1" s="1"/>
  <c r="E384" i="1"/>
  <c r="G384" i="1" s="1"/>
  <c r="M384" i="1" s="1"/>
  <c r="D378" i="1"/>
  <c r="F378" i="1" s="1"/>
  <c r="G378" i="1" s="1"/>
  <c r="M378" i="1" s="1"/>
  <c r="E343" i="1"/>
  <c r="G343" i="1" s="1"/>
  <c r="M343" i="1" s="1"/>
  <c r="E302" i="1"/>
  <c r="G302" i="1" s="1"/>
  <c r="M302" i="1" s="1"/>
  <c r="E292" i="1"/>
  <c r="G292" i="1" s="1"/>
  <c r="M292" i="1" s="1"/>
  <c r="E274" i="1"/>
  <c r="G274" i="1" s="1"/>
  <c r="M274" i="1" s="1"/>
  <c r="E227" i="1"/>
  <c r="G227" i="1" s="1"/>
  <c r="M227" i="1" s="1"/>
  <c r="D220" i="1"/>
  <c r="F220" i="1" s="1"/>
  <c r="G220" i="1" s="1"/>
  <c r="M220" i="1" s="1"/>
  <c r="D212" i="1"/>
  <c r="F212" i="1" s="1"/>
  <c r="G212" i="1" s="1"/>
  <c r="M212" i="1" s="1"/>
  <c r="D629" i="1"/>
  <c r="F629" i="1" s="1"/>
  <c r="G629" i="1" s="1"/>
  <c r="M629" i="1" s="1"/>
  <c r="E589" i="1"/>
  <c r="G589" i="1" s="1"/>
  <c r="M589" i="1" s="1"/>
  <c r="E582" i="1"/>
  <c r="G582" i="1" s="1"/>
  <c r="M582" i="1" s="1"/>
  <c r="D556" i="1"/>
  <c r="F556" i="1" s="1"/>
  <c r="G556" i="1" s="1"/>
  <c r="M556" i="1" s="1"/>
  <c r="E351" i="1"/>
  <c r="G351" i="1" s="1"/>
  <c r="M351" i="1" s="1"/>
  <c r="D311" i="1"/>
  <c r="F311" i="1" s="1"/>
  <c r="G311" i="1" s="1"/>
  <c r="M311" i="1" s="1"/>
  <c r="E513" i="1"/>
  <c r="G513" i="1" s="1"/>
  <c r="M513" i="1" s="1"/>
  <c r="E482" i="1"/>
  <c r="G482" i="1" s="1"/>
  <c r="M482" i="1" s="1"/>
  <c r="E476" i="1"/>
  <c r="G476" i="1" s="1"/>
  <c r="M476" i="1" s="1"/>
  <c r="E449" i="1"/>
  <c r="G449" i="1" s="1"/>
  <c r="M449" i="1" s="1"/>
  <c r="E408" i="1"/>
  <c r="G408" i="1" s="1"/>
  <c r="M408" i="1" s="1"/>
  <c r="E334" i="1"/>
  <c r="G334" i="1" s="1"/>
  <c r="M334" i="1" s="1"/>
  <c r="E308" i="1"/>
  <c r="G308" i="1" s="1"/>
  <c r="M308" i="1" s="1"/>
  <c r="E303" i="1"/>
  <c r="G303" i="1" s="1"/>
  <c r="M303" i="1" s="1"/>
  <c r="E272" i="1"/>
  <c r="G272" i="1" s="1"/>
  <c r="M272" i="1" s="1"/>
  <c r="E268" i="1"/>
  <c r="G268" i="1" s="1"/>
  <c r="M268" i="1" s="1"/>
  <c r="E258" i="1"/>
  <c r="G258" i="1" s="1"/>
  <c r="M258" i="1" s="1"/>
  <c r="E247" i="1"/>
  <c r="G247" i="1" s="1"/>
  <c r="M247" i="1" s="1"/>
  <c r="E231" i="1"/>
  <c r="G231" i="1" s="1"/>
  <c r="M231" i="1" s="1"/>
  <c r="D635" i="1"/>
  <c r="F635" i="1" s="1"/>
  <c r="G635" i="1" s="1"/>
  <c r="M635" i="1" s="1"/>
  <c r="D617" i="1"/>
  <c r="F617" i="1" s="1"/>
  <c r="G617" i="1" s="1"/>
  <c r="M617" i="1" s="1"/>
  <c r="D607" i="1"/>
  <c r="F607" i="1" s="1"/>
  <c r="G607" i="1" s="1"/>
  <c r="M607" i="1" s="1"/>
  <c r="E597" i="1"/>
  <c r="G597" i="1" s="1"/>
  <c r="M597" i="1" s="1"/>
  <c r="D569" i="1"/>
  <c r="F569" i="1" s="1"/>
  <c r="G569" i="1" s="1"/>
  <c r="M569" i="1" s="1"/>
  <c r="D470" i="1"/>
  <c r="F470" i="1" s="1"/>
  <c r="G470" i="1" s="1"/>
  <c r="M470" i="1" s="1"/>
  <c r="D432" i="1"/>
  <c r="F432" i="1" s="1"/>
  <c r="G432" i="1" s="1"/>
  <c r="M432" i="1" s="1"/>
  <c r="E374" i="1"/>
  <c r="G374" i="1" s="1"/>
  <c r="M374" i="1" s="1"/>
  <c r="E237" i="1"/>
  <c r="G237" i="1" s="1"/>
  <c r="M237" i="1" s="1"/>
  <c r="D650" i="1"/>
  <c r="F650" i="1" s="1"/>
  <c r="G650" i="1" s="1"/>
  <c r="M650" i="1" s="1"/>
  <c r="E644" i="1"/>
  <c r="G644" i="1" s="1"/>
  <c r="M644" i="1" s="1"/>
  <c r="E625" i="1"/>
  <c r="G625" i="1" s="1"/>
  <c r="M625" i="1" s="1"/>
  <c r="D563" i="1"/>
  <c r="F563" i="1" s="1"/>
  <c r="G563" i="1" s="1"/>
  <c r="M563" i="1" s="1"/>
  <c r="E544" i="1"/>
  <c r="G544" i="1" s="1"/>
  <c r="M544" i="1" s="1"/>
  <c r="D506" i="1"/>
  <c r="F506" i="1" s="1"/>
  <c r="G506" i="1" s="1"/>
  <c r="M506" i="1" s="1"/>
  <c r="E474" i="1"/>
  <c r="G474" i="1" s="1"/>
  <c r="M474" i="1" s="1"/>
  <c r="D443" i="1"/>
  <c r="F443" i="1" s="1"/>
  <c r="G443" i="1" s="1"/>
  <c r="M443" i="1" s="1"/>
  <c r="E416" i="1"/>
  <c r="G416" i="1" s="1"/>
  <c r="M416" i="1" s="1"/>
  <c r="D385" i="1"/>
  <c r="F385" i="1" s="1"/>
  <c r="G385" i="1" s="1"/>
  <c r="M385" i="1" s="1"/>
  <c r="D356" i="1"/>
  <c r="F356" i="1" s="1"/>
  <c r="G356" i="1" s="1"/>
  <c r="M356" i="1" s="1"/>
  <c r="E296" i="1"/>
  <c r="G296" i="1" s="1"/>
  <c r="M296" i="1" s="1"/>
  <c r="D281" i="1"/>
  <c r="F281" i="1" s="1"/>
  <c r="G281" i="1" s="1"/>
  <c r="M281" i="1" s="1"/>
  <c r="E246" i="1"/>
  <c r="G246" i="1" s="1"/>
  <c r="M246" i="1" s="1"/>
  <c r="E235" i="1"/>
  <c r="G235" i="1" s="1"/>
  <c r="M235" i="1" s="1"/>
  <c r="D218" i="1"/>
  <c r="F218" i="1" s="1"/>
  <c r="G218" i="1" s="1"/>
  <c r="M218" i="1" s="1"/>
  <c r="E667" i="1"/>
  <c r="G667" i="1" s="1"/>
  <c r="M667" i="1" s="1"/>
  <c r="E620" i="1"/>
  <c r="G620" i="1" s="1"/>
  <c r="M620" i="1" s="1"/>
  <c r="E611" i="1"/>
  <c r="G611" i="1" s="1"/>
  <c r="M611" i="1" s="1"/>
  <c r="E601" i="1"/>
  <c r="G601" i="1" s="1"/>
  <c r="M601" i="1" s="1"/>
  <c r="E586" i="1"/>
  <c r="G586" i="1" s="1"/>
  <c r="M586" i="1" s="1"/>
  <c r="E567" i="1"/>
  <c r="G567" i="1" s="1"/>
  <c r="M567" i="1" s="1"/>
  <c r="E557" i="1"/>
  <c r="G557" i="1" s="1"/>
  <c r="M557" i="1" s="1"/>
  <c r="E531" i="1"/>
  <c r="G531" i="1" s="1"/>
  <c r="M531" i="1" s="1"/>
  <c r="E526" i="1"/>
  <c r="G526" i="1" s="1"/>
  <c r="M526" i="1" s="1"/>
  <c r="E496" i="1"/>
  <c r="G496" i="1" s="1"/>
  <c r="M496" i="1" s="1"/>
  <c r="E326" i="1"/>
  <c r="G326" i="1" s="1"/>
  <c r="M326" i="1" s="1"/>
  <c r="E301" i="1"/>
  <c r="G301" i="1" s="1"/>
  <c r="M301" i="1" s="1"/>
  <c r="E285" i="1"/>
  <c r="G285" i="1" s="1"/>
  <c r="M285" i="1" s="1"/>
  <c r="D211" i="1"/>
  <c r="F211" i="1" s="1"/>
  <c r="G211" i="1" s="1"/>
  <c r="M211" i="1" s="1"/>
  <c r="D206" i="1"/>
  <c r="F206" i="1" s="1"/>
  <c r="G206" i="1" s="1"/>
  <c r="M206" i="1" s="1"/>
  <c r="E670" i="1"/>
  <c r="G670" i="1" s="1"/>
  <c r="M670" i="1" s="1"/>
  <c r="E663" i="1"/>
  <c r="G663" i="1" s="1"/>
  <c r="M663" i="1" s="1"/>
  <c r="E653" i="1"/>
  <c r="G653" i="1" s="1"/>
  <c r="M653" i="1" s="1"/>
  <c r="E649" i="1"/>
  <c r="G649" i="1" s="1"/>
  <c r="M649" i="1" s="1"/>
  <c r="E643" i="1"/>
  <c r="G643" i="1" s="1"/>
  <c r="M643" i="1" s="1"/>
  <c r="E632" i="1"/>
  <c r="G632" i="1" s="1"/>
  <c r="M632" i="1" s="1"/>
  <c r="D624" i="1"/>
  <c r="F624" i="1" s="1"/>
  <c r="G624" i="1" s="1"/>
  <c r="M624" i="1" s="1"/>
  <c r="E615" i="1"/>
  <c r="G615" i="1" s="1"/>
  <c r="M615" i="1" s="1"/>
  <c r="E595" i="1"/>
  <c r="G595" i="1" s="1"/>
  <c r="M595" i="1" s="1"/>
  <c r="E590" i="1"/>
  <c r="G590" i="1" s="1"/>
  <c r="M590" i="1" s="1"/>
  <c r="E575" i="1"/>
  <c r="G575" i="1" s="1"/>
  <c r="M575" i="1" s="1"/>
  <c r="E552" i="1"/>
  <c r="G552" i="1" s="1"/>
  <c r="M552" i="1" s="1"/>
  <c r="D543" i="1"/>
  <c r="F543" i="1" s="1"/>
  <c r="G543" i="1" s="1"/>
  <c r="M543" i="1" s="1"/>
  <c r="E534" i="1"/>
  <c r="G534" i="1" s="1"/>
  <c r="M534" i="1" s="1"/>
  <c r="E520" i="1"/>
  <c r="G520" i="1" s="1"/>
  <c r="M520" i="1" s="1"/>
  <c r="E511" i="1"/>
  <c r="G511" i="1" s="1"/>
  <c r="M511" i="1" s="1"/>
  <c r="D505" i="1"/>
  <c r="F505" i="1" s="1"/>
  <c r="G505" i="1" s="1"/>
  <c r="M505" i="1" s="1"/>
  <c r="D480" i="1"/>
  <c r="F480" i="1" s="1"/>
  <c r="G480" i="1" s="1"/>
  <c r="M480" i="1" s="1"/>
  <c r="E467" i="1"/>
  <c r="G467" i="1" s="1"/>
  <c r="M467" i="1" s="1"/>
  <c r="D458" i="1"/>
  <c r="F458" i="1" s="1"/>
  <c r="G458" i="1" s="1"/>
  <c r="M458" i="1" s="1"/>
  <c r="E452" i="1"/>
  <c r="G452" i="1" s="1"/>
  <c r="M452" i="1" s="1"/>
  <c r="D447" i="1"/>
  <c r="F447" i="1" s="1"/>
  <c r="G447" i="1" s="1"/>
  <c r="M447" i="1" s="1"/>
  <c r="E439" i="1"/>
  <c r="G439" i="1" s="1"/>
  <c r="M439" i="1" s="1"/>
  <c r="E435" i="1"/>
  <c r="G435" i="1" s="1"/>
  <c r="M435" i="1" s="1"/>
  <c r="E430" i="1"/>
  <c r="G430" i="1" s="1"/>
  <c r="M430" i="1" s="1"/>
  <c r="E398" i="1"/>
  <c r="G398" i="1" s="1"/>
  <c r="M398" i="1" s="1"/>
  <c r="D390" i="1"/>
  <c r="F390" i="1" s="1"/>
  <c r="G390" i="1" s="1"/>
  <c r="M390" i="1" s="1"/>
  <c r="E376" i="1"/>
  <c r="G376" i="1" s="1"/>
  <c r="M376" i="1" s="1"/>
  <c r="E372" i="1"/>
  <c r="G372" i="1" s="1"/>
  <c r="M372" i="1" s="1"/>
  <c r="D355" i="1"/>
  <c r="F355" i="1" s="1"/>
  <c r="G355" i="1" s="1"/>
  <c r="M355" i="1" s="1"/>
  <c r="E342" i="1"/>
  <c r="G342" i="1" s="1"/>
  <c r="M342" i="1" s="1"/>
  <c r="E331" i="1"/>
  <c r="G331" i="1" s="1"/>
  <c r="M331" i="1" s="1"/>
  <c r="E306" i="1"/>
  <c r="G306" i="1" s="1"/>
  <c r="M306" i="1" s="1"/>
  <c r="E270" i="1"/>
  <c r="G270" i="1" s="1"/>
  <c r="M270" i="1" s="1"/>
  <c r="E266" i="1"/>
  <c r="G266" i="1" s="1"/>
  <c r="M266" i="1" s="1"/>
  <c r="E245" i="1"/>
  <c r="G245" i="1" s="1"/>
  <c r="M245" i="1" s="1"/>
  <c r="E228" i="1"/>
  <c r="G228" i="1" s="1"/>
  <c r="M228" i="1" s="1"/>
  <c r="E223" i="1"/>
  <c r="G223" i="1" s="1"/>
  <c r="M223" i="1" s="1"/>
  <c r="D217" i="1"/>
  <c r="F217" i="1" s="1"/>
  <c r="G217" i="1" s="1"/>
  <c r="M217" i="1" s="1"/>
  <c r="G481" i="1"/>
  <c r="M481" i="1" s="1"/>
  <c r="E538" i="1"/>
  <c r="G538" i="1" s="1"/>
  <c r="M538" i="1" s="1"/>
  <c r="E484" i="1"/>
  <c r="G484" i="1" s="1"/>
  <c r="M484" i="1" s="1"/>
  <c r="D424" i="1"/>
  <c r="F424" i="1" s="1"/>
  <c r="G424" i="1" s="1"/>
  <c r="M424" i="1" s="1"/>
  <c r="E367" i="1"/>
  <c r="G367" i="1" s="1"/>
  <c r="M367" i="1" s="1"/>
  <c r="D360" i="1"/>
  <c r="F360" i="1" s="1"/>
  <c r="G360" i="1" s="1"/>
  <c r="M360" i="1" s="1"/>
  <c r="E347" i="1"/>
  <c r="G347" i="1" s="1"/>
  <c r="M347" i="1" s="1"/>
  <c r="D320" i="1"/>
  <c r="F320" i="1" s="1"/>
  <c r="G320" i="1" s="1"/>
  <c r="M320" i="1" s="1"/>
  <c r="D310" i="1"/>
  <c r="F310" i="1" s="1"/>
  <c r="G310" i="1" s="1"/>
  <c r="M310" i="1" s="1"/>
  <c r="E294" i="1"/>
  <c r="G294" i="1" s="1"/>
  <c r="M294" i="1" s="1"/>
  <c r="E666" i="1"/>
  <c r="G666" i="1" s="1"/>
  <c r="M666" i="1" s="1"/>
  <c r="E648" i="1"/>
  <c r="G648" i="1" s="1"/>
  <c r="M648" i="1" s="1"/>
  <c r="E631" i="1"/>
  <c r="G631" i="1" s="1"/>
  <c r="M631" i="1" s="1"/>
  <c r="E541" i="1"/>
  <c r="G541" i="1" s="1"/>
  <c r="M541" i="1" s="1"/>
  <c r="E519" i="1"/>
  <c r="G519" i="1" s="1"/>
  <c r="M519" i="1" s="1"/>
  <c r="E514" i="1"/>
  <c r="G514" i="1" s="1"/>
  <c r="M514" i="1" s="1"/>
  <c r="E483" i="1"/>
  <c r="G483" i="1" s="1"/>
  <c r="M483" i="1" s="1"/>
  <c r="G479" i="1"/>
  <c r="M479" i="1" s="1"/>
  <c r="E472" i="1"/>
  <c r="G472" i="1" s="1"/>
  <c r="M472" i="1" s="1"/>
  <c r="D446" i="1"/>
  <c r="F446" i="1" s="1"/>
  <c r="G446" i="1" s="1"/>
  <c r="M446" i="1" s="1"/>
  <c r="E434" i="1"/>
  <c r="G434" i="1" s="1"/>
  <c r="M434" i="1" s="1"/>
  <c r="D429" i="1"/>
  <c r="F429" i="1" s="1"/>
  <c r="G429" i="1" s="1"/>
  <c r="M429" i="1" s="1"/>
  <c r="E393" i="1"/>
  <c r="G393" i="1" s="1"/>
  <c r="M393" i="1" s="1"/>
  <c r="E375" i="1"/>
  <c r="G375" i="1" s="1"/>
  <c r="M375" i="1" s="1"/>
  <c r="E371" i="1"/>
  <c r="G371" i="1" s="1"/>
  <c r="M371" i="1" s="1"/>
  <c r="E366" i="1"/>
  <c r="G366" i="1" s="1"/>
  <c r="M366" i="1" s="1"/>
  <c r="E341" i="1"/>
  <c r="G341" i="1" s="1"/>
  <c r="M341" i="1" s="1"/>
  <c r="D335" i="1"/>
  <c r="F335" i="1" s="1"/>
  <c r="G335" i="1" s="1"/>
  <c r="M335" i="1" s="1"/>
  <c r="E319" i="1"/>
  <c r="G319" i="1" s="1"/>
  <c r="M319" i="1" s="1"/>
  <c r="E309" i="1"/>
  <c r="G309" i="1" s="1"/>
  <c r="M309" i="1" s="1"/>
  <c r="E305" i="1"/>
  <c r="G305" i="1" s="1"/>
  <c r="M305" i="1" s="1"/>
  <c r="E293" i="1"/>
  <c r="G293" i="1" s="1"/>
  <c r="M293" i="1" s="1"/>
  <c r="E269" i="1"/>
  <c r="G269" i="1" s="1"/>
  <c r="M269" i="1" s="1"/>
  <c r="E254" i="1"/>
  <c r="G254" i="1" s="1"/>
  <c r="M254" i="1" s="1"/>
  <c r="E244" i="1"/>
  <c r="G244" i="1" s="1"/>
  <c r="M244" i="1" s="1"/>
  <c r="E233" i="1"/>
  <c r="G233" i="1" s="1"/>
  <c r="M233" i="1" s="1"/>
  <c r="E203" i="1"/>
  <c r="G203" i="1" s="1"/>
  <c r="M203" i="1" s="1"/>
  <c r="E652" i="1"/>
  <c r="G652" i="1" s="1"/>
  <c r="M652" i="1" s="1"/>
  <c r="E588" i="1"/>
  <c r="G588" i="1" s="1"/>
  <c r="M588" i="1" s="1"/>
  <c r="E555" i="1"/>
  <c r="G555" i="1" s="1"/>
  <c r="M555" i="1" s="1"/>
  <c r="E551" i="1"/>
  <c r="G551" i="1" s="1"/>
  <c r="M551" i="1" s="1"/>
  <c r="D456" i="1"/>
  <c r="F456" i="1" s="1"/>
  <c r="G456" i="1" s="1"/>
  <c r="M456" i="1" s="1"/>
  <c r="D450" i="1"/>
  <c r="F450" i="1" s="1"/>
  <c r="G450" i="1" s="1"/>
  <c r="M450" i="1" s="1"/>
  <c r="E438" i="1"/>
  <c r="G438" i="1" s="1"/>
  <c r="M438" i="1" s="1"/>
  <c r="E413" i="1"/>
  <c r="G413" i="1" s="1"/>
  <c r="M413" i="1" s="1"/>
  <c r="D388" i="1"/>
  <c r="F388" i="1" s="1"/>
  <c r="G388" i="1" s="1"/>
  <c r="M388" i="1" s="1"/>
  <c r="E352" i="1"/>
  <c r="G352" i="1" s="1"/>
  <c r="M352" i="1" s="1"/>
  <c r="D346" i="1"/>
  <c r="F346" i="1" s="1"/>
  <c r="G346" i="1" s="1"/>
  <c r="M346" i="1" s="1"/>
  <c r="D313" i="1"/>
  <c r="F313" i="1" s="1"/>
  <c r="G313" i="1" s="1"/>
  <c r="M313" i="1" s="1"/>
  <c r="D300" i="1"/>
  <c r="F300" i="1" s="1"/>
  <c r="G300" i="1" s="1"/>
  <c r="M300" i="1" s="1"/>
  <c r="D288" i="1"/>
  <c r="F288" i="1" s="1"/>
  <c r="G288" i="1" s="1"/>
  <c r="M288" i="1" s="1"/>
  <c r="D273" i="1"/>
  <c r="F273" i="1" s="1"/>
  <c r="G273" i="1" s="1"/>
  <c r="M273" i="1" s="1"/>
  <c r="E248" i="1"/>
  <c r="G248" i="1" s="1"/>
  <c r="M248" i="1" s="1"/>
  <c r="D209" i="1"/>
  <c r="F209" i="1" s="1"/>
  <c r="G209" i="1" s="1"/>
  <c r="M209" i="1" s="1"/>
  <c r="G668" i="1"/>
  <c r="M668" i="1" s="1"/>
  <c r="D459" i="1"/>
  <c r="F459" i="1" s="1"/>
  <c r="E459" i="1"/>
  <c r="E674" i="1"/>
  <c r="G674" i="1" s="1"/>
  <c r="M674" i="1" s="1"/>
  <c r="E659" i="1"/>
  <c r="G659" i="1" s="1"/>
  <c r="M659" i="1" s="1"/>
  <c r="E656" i="1"/>
  <c r="G656" i="1" s="1"/>
  <c r="M656" i="1" s="1"/>
  <c r="E646" i="1"/>
  <c r="G646" i="1" s="1"/>
  <c r="M646" i="1" s="1"/>
  <c r="E642" i="1"/>
  <c r="G642" i="1" s="1"/>
  <c r="M642" i="1" s="1"/>
  <c r="E591" i="1"/>
  <c r="G591" i="1" s="1"/>
  <c r="M591" i="1" s="1"/>
  <c r="E547" i="1"/>
  <c r="G547" i="1" s="1"/>
  <c r="M547" i="1" s="1"/>
  <c r="E528" i="1"/>
  <c r="G528" i="1" s="1"/>
  <c r="M528" i="1" s="1"/>
  <c r="E464" i="1"/>
  <c r="G464" i="1" s="1"/>
  <c r="M464" i="1" s="1"/>
  <c r="E605" i="1"/>
  <c r="G605" i="1" s="1"/>
  <c r="M605" i="1" s="1"/>
  <c r="E598" i="1"/>
  <c r="G598" i="1" s="1"/>
  <c r="M598" i="1" s="1"/>
  <c r="D583" i="1"/>
  <c r="F583" i="1" s="1"/>
  <c r="G583" i="1" s="1"/>
  <c r="M583" i="1" s="1"/>
  <c r="D579" i="1"/>
  <c r="F579" i="1" s="1"/>
  <c r="G579" i="1" s="1"/>
  <c r="M579" i="1" s="1"/>
  <c r="E572" i="1"/>
  <c r="G572" i="1" s="1"/>
  <c r="M572" i="1" s="1"/>
  <c r="E554" i="1"/>
  <c r="G554" i="1" s="1"/>
  <c r="M554" i="1" s="1"/>
  <c r="D542" i="1"/>
  <c r="F542" i="1" s="1"/>
  <c r="G542" i="1" s="1"/>
  <c r="M542" i="1" s="1"/>
  <c r="E535" i="1"/>
  <c r="G535" i="1" s="1"/>
  <c r="M535" i="1" s="1"/>
  <c r="D524" i="1"/>
  <c r="F524" i="1" s="1"/>
  <c r="G524" i="1" s="1"/>
  <c r="M524" i="1" s="1"/>
  <c r="E515" i="1"/>
  <c r="G515" i="1" s="1"/>
  <c r="M515" i="1" s="1"/>
  <c r="D473" i="1"/>
  <c r="F473" i="1" s="1"/>
  <c r="G473" i="1" s="1"/>
  <c r="M473" i="1" s="1"/>
  <c r="E359" i="1"/>
  <c r="D359" i="1"/>
  <c r="F359" i="1" s="1"/>
  <c r="D295" i="1"/>
  <c r="F295" i="1" s="1"/>
  <c r="E295" i="1"/>
  <c r="D262" i="1"/>
  <c r="F262" i="1" s="1"/>
  <c r="E262" i="1"/>
  <c r="D257" i="1"/>
  <c r="F257" i="1" s="1"/>
  <c r="E257" i="1"/>
  <c r="E328" i="1"/>
  <c r="D328" i="1"/>
  <c r="F328" i="1" s="1"/>
  <c r="D251" i="1"/>
  <c r="F251" i="1" s="1"/>
  <c r="E251" i="1"/>
  <c r="D637" i="1"/>
  <c r="F637" i="1" s="1"/>
  <c r="G637" i="1" s="1"/>
  <c r="M637" i="1" s="1"/>
  <c r="D633" i="1"/>
  <c r="F633" i="1" s="1"/>
  <c r="G633" i="1" s="1"/>
  <c r="M633" i="1" s="1"/>
  <c r="G627" i="1"/>
  <c r="M627" i="1" s="1"/>
  <c r="D562" i="1"/>
  <c r="F562" i="1" s="1"/>
  <c r="G562" i="1" s="1"/>
  <c r="M562" i="1" s="1"/>
  <c r="D510" i="1"/>
  <c r="F510" i="1" s="1"/>
  <c r="G510" i="1" s="1"/>
  <c r="M510" i="1" s="1"/>
  <c r="D462" i="1"/>
  <c r="F462" i="1" s="1"/>
  <c r="E462" i="1"/>
  <c r="E332" i="1"/>
  <c r="D332" i="1"/>
  <c r="F332" i="1" s="1"/>
  <c r="E304" i="1"/>
  <c r="D304" i="1"/>
  <c r="F304" i="1" s="1"/>
  <c r="E229" i="1"/>
  <c r="D229" i="1"/>
  <c r="F229" i="1" s="1"/>
  <c r="D224" i="1"/>
  <c r="F224" i="1" s="1"/>
  <c r="E224" i="1"/>
  <c r="G487" i="1"/>
  <c r="M487" i="1" s="1"/>
  <c r="E477" i="1"/>
  <c r="D477" i="1"/>
  <c r="F477" i="1" s="1"/>
  <c r="D377" i="1"/>
  <c r="F377" i="1" s="1"/>
  <c r="E377" i="1"/>
  <c r="G373" i="1"/>
  <c r="M373" i="1" s="1"/>
  <c r="E363" i="1"/>
  <c r="D363" i="1"/>
  <c r="F363" i="1" s="1"/>
  <c r="D336" i="1"/>
  <c r="F336" i="1" s="1"/>
  <c r="G336" i="1" s="1"/>
  <c r="M336" i="1" s="1"/>
  <c r="D265" i="1"/>
  <c r="F265" i="1" s="1"/>
  <c r="G265" i="1" s="1"/>
  <c r="M265" i="1" s="1"/>
  <c r="G630" i="1"/>
  <c r="M630" i="1" s="1"/>
  <c r="D509" i="1"/>
  <c r="F509" i="1" s="1"/>
  <c r="E509" i="1"/>
  <c r="D353" i="1"/>
  <c r="F353" i="1" s="1"/>
  <c r="E353" i="1"/>
  <c r="D523" i="1"/>
  <c r="F523" i="1" s="1"/>
  <c r="E523" i="1"/>
  <c r="D499" i="1"/>
  <c r="F499" i="1" s="1"/>
  <c r="E499" i="1"/>
  <c r="D471" i="1"/>
  <c r="F471" i="1" s="1"/>
  <c r="E471" i="1"/>
  <c r="G673" i="1"/>
  <c r="M673" i="1" s="1"/>
  <c r="G600" i="1"/>
  <c r="M600" i="1" s="1"/>
  <c r="E468" i="1"/>
  <c r="D468" i="1"/>
  <c r="F468" i="1" s="1"/>
  <c r="E610" i="1"/>
  <c r="G610" i="1" s="1"/>
  <c r="M610" i="1" s="1"/>
  <c r="E599" i="1"/>
  <c r="G599" i="1" s="1"/>
  <c r="M599" i="1" s="1"/>
  <c r="E494" i="1"/>
  <c r="G494" i="1" s="1"/>
  <c r="M494" i="1" s="1"/>
  <c r="D490" i="1"/>
  <c r="F490" i="1" s="1"/>
  <c r="E490" i="1"/>
  <c r="D380" i="1"/>
  <c r="F380" i="1" s="1"/>
  <c r="E380" i="1"/>
  <c r="D368" i="1"/>
  <c r="F368" i="1" s="1"/>
  <c r="G368" i="1" s="1"/>
  <c r="M368" i="1" s="1"/>
  <c r="D349" i="1"/>
  <c r="F349" i="1" s="1"/>
  <c r="E349" i="1"/>
  <c r="D344" i="1"/>
  <c r="F344" i="1" s="1"/>
  <c r="E344" i="1"/>
  <c r="E321" i="1"/>
  <c r="G321" i="1" s="1"/>
  <c r="M321" i="1" s="1"/>
  <c r="D291" i="1"/>
  <c r="F291" i="1" s="1"/>
  <c r="G291" i="1" s="1"/>
  <c r="M291" i="1" s="1"/>
  <c r="D277" i="1"/>
  <c r="F277" i="1" s="1"/>
  <c r="G277" i="1" s="1"/>
  <c r="M277" i="1" s="1"/>
  <c r="D492" i="1"/>
  <c r="F492" i="1" s="1"/>
  <c r="E492" i="1"/>
  <c r="D478" i="1"/>
  <c r="F478" i="1" s="1"/>
  <c r="E478" i="1"/>
  <c r="G651" i="1"/>
  <c r="M651" i="1" s="1"/>
  <c r="D647" i="1"/>
  <c r="F647" i="1" s="1"/>
  <c r="G647" i="1" s="1"/>
  <c r="M647" i="1" s="1"/>
  <c r="D592" i="1"/>
  <c r="F592" i="1" s="1"/>
  <c r="G592" i="1" s="1"/>
  <c r="M592" i="1" s="1"/>
  <c r="D580" i="1"/>
  <c r="F580" i="1" s="1"/>
  <c r="G580" i="1" s="1"/>
  <c r="M580" i="1" s="1"/>
  <c r="E560" i="1"/>
  <c r="G560" i="1" s="1"/>
  <c r="M560" i="1" s="1"/>
  <c r="D489" i="1"/>
  <c r="F489" i="1" s="1"/>
  <c r="E489" i="1"/>
  <c r="D475" i="1"/>
  <c r="F475" i="1" s="1"/>
  <c r="E475" i="1"/>
  <c r="D465" i="1"/>
  <c r="F465" i="1" s="1"/>
  <c r="E465" i="1"/>
  <c r="D423" i="1"/>
  <c r="F423" i="1" s="1"/>
  <c r="G423" i="1" s="1"/>
  <c r="M423" i="1" s="1"/>
  <c r="E399" i="1"/>
  <c r="G399" i="1" s="1"/>
  <c r="M399" i="1" s="1"/>
  <c r="D387" i="1"/>
  <c r="F387" i="1" s="1"/>
  <c r="G387" i="1" s="1"/>
  <c r="M387" i="1" s="1"/>
  <c r="E379" i="1"/>
  <c r="G379" i="1" s="1"/>
  <c r="M379" i="1" s="1"/>
  <c r="G361" i="1"/>
  <c r="M361" i="1" s="1"/>
  <c r="D299" i="1"/>
  <c r="F299" i="1" s="1"/>
  <c r="E299" i="1"/>
  <c r="G264" i="1"/>
  <c r="M264" i="1" s="1"/>
  <c r="D242" i="1"/>
  <c r="F242" i="1" s="1"/>
  <c r="E242" i="1"/>
  <c r="E503" i="1"/>
  <c r="G503" i="1" s="1"/>
  <c r="M503" i="1" s="1"/>
  <c r="E466" i="1"/>
  <c r="G466" i="1" s="1"/>
  <c r="M466" i="1" s="1"/>
  <c r="E454" i="1"/>
  <c r="G454" i="1" s="1"/>
  <c r="M454" i="1" s="1"/>
  <c r="E433" i="1"/>
  <c r="G433" i="1" s="1"/>
  <c r="M433" i="1" s="1"/>
  <c r="E427" i="1"/>
  <c r="G427" i="1" s="1"/>
  <c r="M427" i="1" s="1"/>
  <c r="E421" i="1"/>
  <c r="G421" i="1" s="1"/>
  <c r="M421" i="1" s="1"/>
  <c r="E415" i="1"/>
  <c r="G415" i="1" s="1"/>
  <c r="M415" i="1" s="1"/>
  <c r="E409" i="1"/>
  <c r="G409" i="1" s="1"/>
  <c r="M409" i="1" s="1"/>
  <c r="E397" i="1"/>
  <c r="G397" i="1" s="1"/>
  <c r="M397" i="1" s="1"/>
  <c r="E365" i="1"/>
  <c r="G365" i="1" s="1"/>
  <c r="M365" i="1" s="1"/>
  <c r="E350" i="1"/>
  <c r="G350" i="1" s="1"/>
  <c r="M350" i="1" s="1"/>
  <c r="E330" i="1"/>
  <c r="G330" i="1" s="1"/>
  <c r="M330" i="1" s="1"/>
  <c r="D323" i="1"/>
  <c r="F323" i="1" s="1"/>
  <c r="E323" i="1"/>
  <c r="G314" i="1"/>
  <c r="M314" i="1" s="1"/>
  <c r="D298" i="1"/>
  <c r="F298" i="1" s="1"/>
  <c r="G298" i="1" s="1"/>
  <c r="M298" i="1" s="1"/>
  <c r="D280" i="1"/>
  <c r="F280" i="1" s="1"/>
  <c r="G280" i="1" s="1"/>
  <c r="M280" i="1" s="1"/>
  <c r="D259" i="1"/>
  <c r="F259" i="1" s="1"/>
  <c r="G259" i="1" s="1"/>
  <c r="M259" i="1" s="1"/>
  <c r="E250" i="1"/>
  <c r="G250" i="1" s="1"/>
  <c r="M250" i="1" s="1"/>
  <c r="E241" i="1"/>
  <c r="G241" i="1" s="1"/>
  <c r="M241" i="1" s="1"/>
  <c r="D232" i="1"/>
  <c r="F232" i="1" s="1"/>
  <c r="G232" i="1" s="1"/>
  <c r="M232" i="1" s="1"/>
  <c r="D205" i="1"/>
  <c r="F205" i="1" s="1"/>
  <c r="G205" i="1" s="1"/>
  <c r="M205" i="1" s="1"/>
  <c r="D460" i="1"/>
  <c r="F460" i="1" s="1"/>
  <c r="G460" i="1" s="1"/>
  <c r="M460" i="1" s="1"/>
  <c r="G403" i="1"/>
  <c r="M403" i="1" s="1"/>
  <c r="D369" i="1"/>
  <c r="F369" i="1" s="1"/>
  <c r="G369" i="1" s="1"/>
  <c r="M369" i="1" s="1"/>
  <c r="D354" i="1"/>
  <c r="F354" i="1" s="1"/>
  <c r="G354" i="1" s="1"/>
  <c r="M354" i="1" s="1"/>
  <c r="E338" i="1"/>
  <c r="G338" i="1" s="1"/>
  <c r="M338" i="1" s="1"/>
  <c r="E318" i="1"/>
  <c r="G318" i="1" s="1"/>
  <c r="M318" i="1" s="1"/>
  <c r="D221" i="1"/>
  <c r="F221" i="1" s="1"/>
  <c r="E221" i="1"/>
  <c r="D215" i="1"/>
  <c r="F215" i="1" s="1"/>
  <c r="E215" i="1"/>
  <c r="D263" i="1"/>
  <c r="F263" i="1" s="1"/>
  <c r="E263" i="1"/>
  <c r="D236" i="1"/>
  <c r="F236" i="1" s="1"/>
  <c r="E236" i="1"/>
  <c r="G536" i="1"/>
  <c r="M536" i="1" s="1"/>
  <c r="D317" i="1"/>
  <c r="F317" i="1" s="1"/>
  <c r="E317" i="1"/>
  <c r="G286" i="1"/>
  <c r="M286" i="1" s="1"/>
  <c r="E204" i="1"/>
  <c r="G204" i="1" s="1"/>
  <c r="M204" i="1" s="1"/>
  <c r="E222" i="1"/>
  <c r="G222" i="1" s="1"/>
  <c r="M222" i="1" s="1"/>
  <c r="E216" i="1"/>
  <c r="G216" i="1" s="1"/>
  <c r="M216" i="1" s="1"/>
  <c r="E213" i="1"/>
  <c r="G213" i="1" s="1"/>
  <c r="M213" i="1" s="1"/>
  <c r="E207" i="1"/>
  <c r="G207" i="1" s="1"/>
  <c r="M207" i="1" s="1"/>
  <c r="G289" i="1"/>
  <c r="M289" i="1" s="1"/>
  <c r="G525" i="1"/>
  <c r="M525" i="1" s="1"/>
  <c r="G573" i="1"/>
  <c r="M573" i="1" s="1"/>
  <c r="G619" i="1"/>
  <c r="M619" i="1" s="1"/>
  <c r="G279" i="1"/>
  <c r="M279" i="1" s="1"/>
  <c r="G271" i="1"/>
  <c r="M271" i="1" s="1"/>
  <c r="G243" i="1"/>
  <c r="M243" i="1" s="1"/>
  <c r="D108" i="1"/>
  <c r="F108" i="1" s="1"/>
  <c r="G108" i="1" s="1"/>
  <c r="M108" i="1" s="1"/>
  <c r="E173" i="1"/>
  <c r="G173" i="1" s="1"/>
  <c r="M173" i="1" s="1"/>
  <c r="E161" i="1"/>
  <c r="G161" i="1" s="1"/>
  <c r="M161" i="1" s="1"/>
  <c r="E160" i="1"/>
  <c r="G160" i="1" s="1"/>
  <c r="M160" i="1" s="1"/>
  <c r="D180" i="1"/>
  <c r="F180" i="1" s="1"/>
  <c r="G180" i="1" s="1"/>
  <c r="M180" i="1" s="1"/>
  <c r="D61" i="1"/>
  <c r="F61" i="1" s="1"/>
  <c r="G61" i="1" s="1"/>
  <c r="M61" i="1" s="1"/>
  <c r="D36" i="1"/>
  <c r="F36" i="1" s="1"/>
  <c r="G36" i="1" s="1"/>
  <c r="M36" i="1" s="1"/>
  <c r="D133" i="1"/>
  <c r="F133" i="1" s="1"/>
  <c r="G133" i="1" s="1"/>
  <c r="M133" i="1" s="1"/>
  <c r="D122" i="1"/>
  <c r="F122" i="1" s="1"/>
  <c r="G122" i="1" s="1"/>
  <c r="M122" i="1" s="1"/>
  <c r="E149" i="1"/>
  <c r="G149" i="1" s="1"/>
  <c r="M149" i="1" s="1"/>
  <c r="E101" i="1"/>
  <c r="G101" i="1" s="1"/>
  <c r="M101" i="1" s="1"/>
  <c r="E22" i="1"/>
  <c r="G22" i="1" s="1"/>
  <c r="M22" i="1" s="1"/>
  <c r="D97" i="1"/>
  <c r="F97" i="1" s="1"/>
  <c r="G97" i="1" s="1"/>
  <c r="M97" i="1" s="1"/>
  <c r="D86" i="1"/>
  <c r="F86" i="1" s="1"/>
  <c r="G86" i="1" s="1"/>
  <c r="M86" i="1" s="1"/>
  <c r="E128" i="1"/>
  <c r="G128" i="1" s="1"/>
  <c r="M128" i="1" s="1"/>
  <c r="D72" i="1"/>
  <c r="F72" i="1" s="1"/>
  <c r="G72" i="1" s="1"/>
  <c r="M72" i="1" s="1"/>
  <c r="E113" i="1"/>
  <c r="G113" i="1" s="1"/>
  <c r="M113" i="1" s="1"/>
  <c r="E92" i="1"/>
  <c r="G92" i="1" s="1"/>
  <c r="M92" i="1" s="1"/>
  <c r="E75" i="1"/>
  <c r="G75" i="1" s="1"/>
  <c r="M75" i="1" s="1"/>
  <c r="D169" i="1"/>
  <c r="F169" i="1" s="1"/>
  <c r="G169" i="1" s="1"/>
  <c r="M169" i="1" s="1"/>
  <c r="D14" i="1"/>
  <c r="F14" i="1" s="1"/>
  <c r="G14" i="1" s="1"/>
  <c r="M14" i="1" s="1"/>
  <c r="E65" i="1"/>
  <c r="G65" i="1" s="1"/>
  <c r="M65" i="1" s="1"/>
  <c r="D50" i="1"/>
  <c r="F50" i="1" s="1"/>
  <c r="G50" i="1" s="1"/>
  <c r="M50" i="1" s="1"/>
  <c r="D158" i="1"/>
  <c r="F158" i="1" s="1"/>
  <c r="G158" i="1" s="1"/>
  <c r="M158" i="1" s="1"/>
  <c r="E185" i="1"/>
  <c r="G185" i="1" s="1"/>
  <c r="M185" i="1" s="1"/>
  <c r="E53" i="1"/>
  <c r="G53" i="1" s="1"/>
  <c r="M53" i="1" s="1"/>
  <c r="D194" i="1"/>
  <c r="F194" i="1" s="1"/>
  <c r="G194" i="1" s="1"/>
  <c r="M194" i="1" s="1"/>
  <c r="D144" i="1"/>
  <c r="F144" i="1" s="1"/>
  <c r="G144" i="1" s="1"/>
  <c r="M144" i="1" s="1"/>
  <c r="E183" i="1"/>
  <c r="G183" i="1" s="1"/>
  <c r="M183" i="1" s="1"/>
  <c r="E41" i="1"/>
  <c r="G41" i="1" s="1"/>
  <c r="M41" i="1" s="1"/>
  <c r="E39" i="1"/>
  <c r="G39" i="1" s="1"/>
  <c r="M39" i="1" s="1"/>
  <c r="E21" i="1"/>
  <c r="G21" i="1" s="1"/>
  <c r="M21" i="1" s="1"/>
  <c r="D175" i="1"/>
  <c r="F175" i="1" s="1"/>
  <c r="G175" i="1" s="1"/>
  <c r="M175" i="1" s="1"/>
  <c r="D139" i="1"/>
  <c r="F139" i="1" s="1"/>
  <c r="G139" i="1" s="1"/>
  <c r="M139" i="1" s="1"/>
  <c r="D103" i="1"/>
  <c r="F103" i="1" s="1"/>
  <c r="G103" i="1" s="1"/>
  <c r="M103" i="1" s="1"/>
  <c r="D67" i="1"/>
  <c r="F67" i="1" s="1"/>
  <c r="G67" i="1" s="1"/>
  <c r="M67" i="1" s="1"/>
  <c r="D25" i="1"/>
  <c r="F25" i="1" s="1"/>
  <c r="G25" i="1" s="1"/>
  <c r="M25" i="1" s="1"/>
  <c r="E159" i="1"/>
  <c r="G159" i="1" s="1"/>
  <c r="M159" i="1" s="1"/>
  <c r="E127" i="1"/>
  <c r="G127" i="1" s="1"/>
  <c r="M127" i="1" s="1"/>
  <c r="E100" i="1"/>
  <c r="G100" i="1" s="1"/>
  <c r="M100" i="1" s="1"/>
  <c r="E68" i="1"/>
  <c r="G68" i="1" s="1"/>
  <c r="M68" i="1" s="1"/>
  <c r="D170" i="1"/>
  <c r="F170" i="1" s="1"/>
  <c r="G170" i="1" s="1"/>
  <c r="M170" i="1" s="1"/>
  <c r="D134" i="1"/>
  <c r="F134" i="1" s="1"/>
  <c r="G134" i="1" s="1"/>
  <c r="M134" i="1" s="1"/>
  <c r="D98" i="1"/>
  <c r="F98" i="1" s="1"/>
  <c r="G98" i="1" s="1"/>
  <c r="M98" i="1" s="1"/>
  <c r="D62" i="1"/>
  <c r="F62" i="1" s="1"/>
  <c r="G62" i="1" s="1"/>
  <c r="M62" i="1" s="1"/>
  <c r="D23" i="1"/>
  <c r="F23" i="1" s="1"/>
  <c r="G23" i="1" s="1"/>
  <c r="M23" i="1" s="1"/>
  <c r="E184" i="1"/>
  <c r="G184" i="1" s="1"/>
  <c r="M184" i="1" s="1"/>
  <c r="E152" i="1"/>
  <c r="G152" i="1" s="1"/>
  <c r="M152" i="1" s="1"/>
  <c r="E125" i="1"/>
  <c r="G125" i="1" s="1"/>
  <c r="M125" i="1" s="1"/>
  <c r="E99" i="1"/>
  <c r="G99" i="1" s="1"/>
  <c r="M99" i="1" s="1"/>
  <c r="E40" i="1"/>
  <c r="G40" i="1" s="1"/>
  <c r="M40" i="1" s="1"/>
  <c r="D168" i="1"/>
  <c r="F168" i="1" s="1"/>
  <c r="G168" i="1" s="1"/>
  <c r="M168" i="1" s="1"/>
  <c r="D132" i="1"/>
  <c r="F132" i="1" s="1"/>
  <c r="G132" i="1" s="1"/>
  <c r="M132" i="1" s="1"/>
  <c r="D96" i="1"/>
  <c r="F96" i="1" s="1"/>
  <c r="G96" i="1" s="1"/>
  <c r="M96" i="1" s="1"/>
  <c r="D60" i="1"/>
  <c r="F60" i="1" s="1"/>
  <c r="G60" i="1" s="1"/>
  <c r="M60" i="1" s="1"/>
  <c r="D13" i="1"/>
  <c r="F13" i="1" s="1"/>
  <c r="G13" i="1" s="1"/>
  <c r="M13" i="1" s="1"/>
  <c r="E176" i="1"/>
  <c r="G176" i="1" s="1"/>
  <c r="M176" i="1" s="1"/>
  <c r="E123" i="1"/>
  <c r="G123" i="1" s="1"/>
  <c r="M123" i="1" s="1"/>
  <c r="E91" i="1"/>
  <c r="G91" i="1" s="1"/>
  <c r="M91" i="1" s="1"/>
  <c r="E64" i="1"/>
  <c r="G64" i="1" s="1"/>
  <c r="M64" i="1" s="1"/>
  <c r="E32" i="1"/>
  <c r="G32" i="1" s="1"/>
  <c r="M32" i="1" s="1"/>
  <c r="D199" i="1"/>
  <c r="F199" i="1" s="1"/>
  <c r="G199" i="1" s="1"/>
  <c r="M199" i="1" s="1"/>
  <c r="D163" i="1"/>
  <c r="F163" i="1" s="1"/>
  <c r="G163" i="1" s="1"/>
  <c r="M163" i="1" s="1"/>
  <c r="D55" i="1"/>
  <c r="F55" i="1" s="1"/>
  <c r="G55" i="1" s="1"/>
  <c r="M55" i="1" s="1"/>
  <c r="D12" i="1"/>
  <c r="F12" i="1" s="1"/>
  <c r="G12" i="1" s="1"/>
  <c r="M12" i="1" s="1"/>
  <c r="E148" i="1"/>
  <c r="G148" i="1" s="1"/>
  <c r="M148" i="1" s="1"/>
  <c r="E116" i="1"/>
  <c r="G116" i="1" s="1"/>
  <c r="M116" i="1" s="1"/>
  <c r="E89" i="1"/>
  <c r="G89" i="1" s="1"/>
  <c r="M89" i="1" s="1"/>
  <c r="E63" i="1"/>
  <c r="G63" i="1" s="1"/>
  <c r="M63" i="1" s="1"/>
  <c r="E31" i="1"/>
  <c r="G31" i="1" s="1"/>
  <c r="M31" i="1" s="1"/>
  <c r="E151" i="1"/>
  <c r="G151" i="1" s="1"/>
  <c r="M151" i="1" s="1"/>
  <c r="E200" i="1"/>
  <c r="G200" i="1" s="1"/>
  <c r="M200" i="1" s="1"/>
  <c r="E147" i="1"/>
  <c r="G147" i="1" s="1"/>
  <c r="M147" i="1" s="1"/>
  <c r="E115" i="1"/>
  <c r="G115" i="1" s="1"/>
  <c r="M115" i="1" s="1"/>
  <c r="E88" i="1"/>
  <c r="G88" i="1" s="1"/>
  <c r="M88" i="1" s="1"/>
  <c r="E56" i="1"/>
  <c r="G56" i="1" s="1"/>
  <c r="M56" i="1" s="1"/>
  <c r="E187" i="1"/>
  <c r="G187" i="1" s="1"/>
  <c r="M187" i="1" s="1"/>
  <c r="E124" i="1"/>
  <c r="G124" i="1" s="1"/>
  <c r="M124" i="1" s="1"/>
  <c r="D193" i="1"/>
  <c r="F193" i="1" s="1"/>
  <c r="G193" i="1" s="1"/>
  <c r="M193" i="1" s="1"/>
  <c r="D157" i="1"/>
  <c r="F157" i="1" s="1"/>
  <c r="G157" i="1" s="1"/>
  <c r="M157" i="1" s="1"/>
  <c r="D85" i="1"/>
  <c r="F85" i="1" s="1"/>
  <c r="G85" i="1" s="1"/>
  <c r="M85" i="1" s="1"/>
  <c r="D49" i="1"/>
  <c r="F49" i="1" s="1"/>
  <c r="G49" i="1" s="1"/>
  <c r="M49" i="1" s="1"/>
  <c r="E172" i="1"/>
  <c r="G172" i="1" s="1"/>
  <c r="M172" i="1" s="1"/>
  <c r="E140" i="1"/>
  <c r="G140" i="1" s="1"/>
  <c r="M140" i="1" s="1"/>
  <c r="E87" i="1"/>
  <c r="G87" i="1" s="1"/>
  <c r="M87" i="1" s="1"/>
  <c r="E43" i="1"/>
  <c r="G43" i="1" s="1"/>
  <c r="M43" i="1" s="1"/>
  <c r="E80" i="1"/>
  <c r="G80" i="1" s="1"/>
  <c r="M80" i="1" s="1"/>
  <c r="D121" i="1"/>
  <c r="F121" i="1" s="1"/>
  <c r="G121" i="1" s="1"/>
  <c r="M121" i="1" s="1"/>
  <c r="D192" i="1"/>
  <c r="F192" i="1" s="1"/>
  <c r="G192" i="1" s="1"/>
  <c r="M192" i="1" s="1"/>
  <c r="D84" i="1"/>
  <c r="F84" i="1" s="1"/>
  <c r="G84" i="1" s="1"/>
  <c r="M84" i="1" s="1"/>
  <c r="E197" i="1"/>
  <c r="G197" i="1" s="1"/>
  <c r="M197" i="1" s="1"/>
  <c r="E20" i="1"/>
  <c r="G20" i="1" s="1"/>
  <c r="M20" i="1" s="1"/>
  <c r="D79" i="1"/>
  <c r="F79" i="1" s="1"/>
  <c r="G79" i="1" s="1"/>
  <c r="M79" i="1" s="1"/>
  <c r="E196" i="1"/>
  <c r="G196" i="1" s="1"/>
  <c r="M196" i="1" s="1"/>
  <c r="E164" i="1"/>
  <c r="G164" i="1" s="1"/>
  <c r="M164" i="1" s="1"/>
  <c r="E137" i="1"/>
  <c r="G137" i="1" s="1"/>
  <c r="M137" i="1" s="1"/>
  <c r="E111" i="1"/>
  <c r="G111" i="1" s="1"/>
  <c r="M111" i="1" s="1"/>
  <c r="E52" i="1"/>
  <c r="G52" i="1" s="1"/>
  <c r="M52" i="1" s="1"/>
  <c r="E19" i="1"/>
  <c r="G19" i="1" s="1"/>
  <c r="M19" i="1" s="1"/>
  <c r="D156" i="1"/>
  <c r="F156" i="1" s="1"/>
  <c r="G156" i="1" s="1"/>
  <c r="M156" i="1" s="1"/>
  <c r="D120" i="1"/>
  <c r="F120" i="1" s="1"/>
  <c r="G120" i="1" s="1"/>
  <c r="M120" i="1" s="1"/>
  <c r="D48" i="1"/>
  <c r="F48" i="1" s="1"/>
  <c r="G48" i="1" s="1"/>
  <c r="M48" i="1" s="1"/>
  <c r="E171" i="1"/>
  <c r="G171" i="1" s="1"/>
  <c r="M171" i="1" s="1"/>
  <c r="E112" i="1"/>
  <c r="G112" i="1" s="1"/>
  <c r="M112" i="1" s="1"/>
  <c r="D182" i="1"/>
  <c r="F182" i="1" s="1"/>
  <c r="G182" i="1" s="1"/>
  <c r="M182" i="1" s="1"/>
  <c r="D146" i="1"/>
  <c r="F146" i="1" s="1"/>
  <c r="G146" i="1" s="1"/>
  <c r="M146" i="1" s="1"/>
  <c r="D110" i="1"/>
  <c r="F110" i="1" s="1"/>
  <c r="G110" i="1" s="1"/>
  <c r="M110" i="1" s="1"/>
  <c r="D74" i="1"/>
  <c r="F74" i="1" s="1"/>
  <c r="G74" i="1" s="1"/>
  <c r="M74" i="1" s="1"/>
  <c r="D38" i="1"/>
  <c r="F38" i="1" s="1"/>
  <c r="G38" i="1" s="1"/>
  <c r="M38" i="1" s="1"/>
  <c r="E195" i="1"/>
  <c r="G195" i="1" s="1"/>
  <c r="M195" i="1" s="1"/>
  <c r="E136" i="1"/>
  <c r="G136" i="1" s="1"/>
  <c r="M136" i="1" s="1"/>
  <c r="E104" i="1"/>
  <c r="G104" i="1" s="1"/>
  <c r="M104" i="1" s="1"/>
  <c r="E77" i="1"/>
  <c r="G77" i="1" s="1"/>
  <c r="M77" i="1" s="1"/>
  <c r="E51" i="1"/>
  <c r="G51" i="1" s="1"/>
  <c r="M51" i="1" s="1"/>
  <c r="E7" i="1"/>
  <c r="G7" i="1" s="1"/>
  <c r="M7" i="1" s="1"/>
  <c r="D181" i="1"/>
  <c r="F181" i="1" s="1"/>
  <c r="G181" i="1" s="1"/>
  <c r="M181" i="1" s="1"/>
  <c r="D145" i="1"/>
  <c r="F145" i="1" s="1"/>
  <c r="G145" i="1" s="1"/>
  <c r="M145" i="1" s="1"/>
  <c r="D109" i="1"/>
  <c r="F109" i="1" s="1"/>
  <c r="G109" i="1" s="1"/>
  <c r="M109" i="1" s="1"/>
  <c r="D73" i="1"/>
  <c r="F73" i="1" s="1"/>
  <c r="G73" i="1" s="1"/>
  <c r="M73" i="1" s="1"/>
  <c r="D37" i="1"/>
  <c r="F37" i="1" s="1"/>
  <c r="G37" i="1" s="1"/>
  <c r="M37" i="1" s="1"/>
  <c r="E188" i="1"/>
  <c r="G188" i="1" s="1"/>
  <c r="M188" i="1" s="1"/>
  <c r="E135" i="1"/>
  <c r="G135" i="1" s="1"/>
  <c r="M135" i="1" s="1"/>
  <c r="E76" i="1"/>
  <c r="G76" i="1" s="1"/>
  <c r="M76" i="1" s="1"/>
  <c r="E44" i="1"/>
  <c r="G44" i="1" s="1"/>
  <c r="M44" i="1" s="1"/>
  <c r="E3" i="1"/>
  <c r="G3" i="1" s="1"/>
  <c r="E198" i="1"/>
  <c r="G198" i="1" s="1"/>
  <c r="M198" i="1" s="1"/>
  <c r="E186" i="1"/>
  <c r="G186" i="1" s="1"/>
  <c r="M186" i="1" s="1"/>
  <c r="E174" i="1"/>
  <c r="G174" i="1" s="1"/>
  <c r="M174" i="1" s="1"/>
  <c r="E162" i="1"/>
  <c r="G162" i="1" s="1"/>
  <c r="M162" i="1" s="1"/>
  <c r="E150" i="1"/>
  <c r="G150" i="1" s="1"/>
  <c r="M150" i="1" s="1"/>
  <c r="E138" i="1"/>
  <c r="G138" i="1" s="1"/>
  <c r="M138" i="1" s="1"/>
  <c r="E126" i="1"/>
  <c r="G126" i="1" s="1"/>
  <c r="M126" i="1" s="1"/>
  <c r="E114" i="1"/>
  <c r="G114" i="1" s="1"/>
  <c r="M114" i="1" s="1"/>
  <c r="E102" i="1"/>
  <c r="G102" i="1" s="1"/>
  <c r="M102" i="1" s="1"/>
  <c r="E90" i="1"/>
  <c r="G90" i="1" s="1"/>
  <c r="M90" i="1" s="1"/>
  <c r="E78" i="1"/>
  <c r="G78" i="1" s="1"/>
  <c r="M78" i="1" s="1"/>
  <c r="E66" i="1"/>
  <c r="G66" i="1" s="1"/>
  <c r="M66" i="1" s="1"/>
  <c r="E54" i="1"/>
  <c r="G54" i="1" s="1"/>
  <c r="M54" i="1" s="1"/>
  <c r="E42" i="1"/>
  <c r="G42" i="1" s="1"/>
  <c r="M42" i="1" s="1"/>
  <c r="D191" i="1"/>
  <c r="F191" i="1" s="1"/>
  <c r="G191" i="1" s="1"/>
  <c r="M191" i="1" s="1"/>
  <c r="D179" i="1"/>
  <c r="F179" i="1" s="1"/>
  <c r="G179" i="1" s="1"/>
  <c r="M179" i="1" s="1"/>
  <c r="D167" i="1"/>
  <c r="F167" i="1" s="1"/>
  <c r="G167" i="1" s="1"/>
  <c r="M167" i="1" s="1"/>
  <c r="D155" i="1"/>
  <c r="F155" i="1" s="1"/>
  <c r="G155" i="1" s="1"/>
  <c r="M155" i="1" s="1"/>
  <c r="D143" i="1"/>
  <c r="F143" i="1" s="1"/>
  <c r="G143" i="1" s="1"/>
  <c r="M143" i="1" s="1"/>
  <c r="D131" i="1"/>
  <c r="F131" i="1" s="1"/>
  <c r="G131" i="1" s="1"/>
  <c r="M131" i="1" s="1"/>
  <c r="D119" i="1"/>
  <c r="F119" i="1" s="1"/>
  <c r="G119" i="1" s="1"/>
  <c r="M119" i="1" s="1"/>
  <c r="D107" i="1"/>
  <c r="F107" i="1" s="1"/>
  <c r="G107" i="1" s="1"/>
  <c r="M107" i="1" s="1"/>
  <c r="D95" i="1"/>
  <c r="F95" i="1" s="1"/>
  <c r="G95" i="1" s="1"/>
  <c r="M95" i="1" s="1"/>
  <c r="D83" i="1"/>
  <c r="F83" i="1" s="1"/>
  <c r="G83" i="1" s="1"/>
  <c r="M83" i="1" s="1"/>
  <c r="D71" i="1"/>
  <c r="F71" i="1" s="1"/>
  <c r="G71" i="1" s="1"/>
  <c r="M71" i="1" s="1"/>
  <c r="D59" i="1"/>
  <c r="F59" i="1" s="1"/>
  <c r="G59" i="1" s="1"/>
  <c r="M59" i="1" s="1"/>
  <c r="D47" i="1"/>
  <c r="F47" i="1" s="1"/>
  <c r="G47" i="1" s="1"/>
  <c r="M47" i="1" s="1"/>
  <c r="D35" i="1"/>
  <c r="F35" i="1" s="1"/>
  <c r="G35" i="1" s="1"/>
  <c r="M35" i="1" s="1"/>
  <c r="D11" i="1"/>
  <c r="F11" i="1" s="1"/>
  <c r="G11" i="1" s="1"/>
  <c r="M11" i="1" s="1"/>
  <c r="D202" i="1"/>
  <c r="F202" i="1" s="1"/>
  <c r="G202" i="1" s="1"/>
  <c r="M202" i="1" s="1"/>
  <c r="D190" i="1"/>
  <c r="F190" i="1" s="1"/>
  <c r="G190" i="1" s="1"/>
  <c r="M190" i="1" s="1"/>
  <c r="D178" i="1"/>
  <c r="F178" i="1" s="1"/>
  <c r="G178" i="1" s="1"/>
  <c r="M178" i="1" s="1"/>
  <c r="D166" i="1"/>
  <c r="F166" i="1" s="1"/>
  <c r="G166" i="1" s="1"/>
  <c r="M166" i="1" s="1"/>
  <c r="D154" i="1"/>
  <c r="F154" i="1" s="1"/>
  <c r="G154" i="1" s="1"/>
  <c r="M154" i="1" s="1"/>
  <c r="D142" i="1"/>
  <c r="F142" i="1" s="1"/>
  <c r="G142" i="1" s="1"/>
  <c r="M142" i="1" s="1"/>
  <c r="D130" i="1"/>
  <c r="F130" i="1" s="1"/>
  <c r="G130" i="1" s="1"/>
  <c r="M130" i="1" s="1"/>
  <c r="D118" i="1"/>
  <c r="F118" i="1" s="1"/>
  <c r="G118" i="1" s="1"/>
  <c r="M118" i="1" s="1"/>
  <c r="D106" i="1"/>
  <c r="F106" i="1" s="1"/>
  <c r="G106" i="1" s="1"/>
  <c r="M106" i="1" s="1"/>
  <c r="D94" i="1"/>
  <c r="F94" i="1" s="1"/>
  <c r="G94" i="1" s="1"/>
  <c r="M94" i="1" s="1"/>
  <c r="D82" i="1"/>
  <c r="F82" i="1" s="1"/>
  <c r="G82" i="1" s="1"/>
  <c r="M82" i="1" s="1"/>
  <c r="D70" i="1"/>
  <c r="F70" i="1" s="1"/>
  <c r="G70" i="1" s="1"/>
  <c r="M70" i="1" s="1"/>
  <c r="D58" i="1"/>
  <c r="F58" i="1" s="1"/>
  <c r="G58" i="1" s="1"/>
  <c r="M58" i="1" s="1"/>
  <c r="D46" i="1"/>
  <c r="F46" i="1" s="1"/>
  <c r="G46" i="1" s="1"/>
  <c r="M46" i="1" s="1"/>
  <c r="D34" i="1"/>
  <c r="F34" i="1" s="1"/>
  <c r="G34" i="1" s="1"/>
  <c r="M34" i="1" s="1"/>
  <c r="D10" i="1"/>
  <c r="F10" i="1" s="1"/>
  <c r="G10" i="1" s="1"/>
  <c r="M10" i="1" s="1"/>
  <c r="D201" i="1"/>
  <c r="F201" i="1" s="1"/>
  <c r="G201" i="1" s="1"/>
  <c r="M201" i="1" s="1"/>
  <c r="D189" i="1"/>
  <c r="F189" i="1" s="1"/>
  <c r="G189" i="1" s="1"/>
  <c r="M189" i="1" s="1"/>
  <c r="D177" i="1"/>
  <c r="F177" i="1" s="1"/>
  <c r="G177" i="1" s="1"/>
  <c r="M177" i="1" s="1"/>
  <c r="D165" i="1"/>
  <c r="F165" i="1" s="1"/>
  <c r="G165" i="1" s="1"/>
  <c r="M165" i="1" s="1"/>
  <c r="D153" i="1"/>
  <c r="F153" i="1" s="1"/>
  <c r="G153" i="1" s="1"/>
  <c r="M153" i="1" s="1"/>
  <c r="D141" i="1"/>
  <c r="F141" i="1" s="1"/>
  <c r="G141" i="1" s="1"/>
  <c r="M141" i="1" s="1"/>
  <c r="D129" i="1"/>
  <c r="F129" i="1" s="1"/>
  <c r="G129" i="1" s="1"/>
  <c r="M129" i="1" s="1"/>
  <c r="D117" i="1"/>
  <c r="F117" i="1" s="1"/>
  <c r="G117" i="1" s="1"/>
  <c r="M117" i="1" s="1"/>
  <c r="D105" i="1"/>
  <c r="F105" i="1" s="1"/>
  <c r="G105" i="1" s="1"/>
  <c r="M105" i="1" s="1"/>
  <c r="D93" i="1"/>
  <c r="F93" i="1" s="1"/>
  <c r="G93" i="1" s="1"/>
  <c r="M93" i="1" s="1"/>
  <c r="D81" i="1"/>
  <c r="F81" i="1" s="1"/>
  <c r="G81" i="1" s="1"/>
  <c r="M81" i="1" s="1"/>
  <c r="D69" i="1"/>
  <c r="F69" i="1" s="1"/>
  <c r="G69" i="1" s="1"/>
  <c r="M69" i="1" s="1"/>
  <c r="D57" i="1"/>
  <c r="F57" i="1" s="1"/>
  <c r="G57" i="1" s="1"/>
  <c r="M57" i="1" s="1"/>
  <c r="D45" i="1"/>
  <c r="F45" i="1" s="1"/>
  <c r="G45" i="1" s="1"/>
  <c r="M45" i="1" s="1"/>
  <c r="D8" i="1"/>
  <c r="F8" i="1" s="1"/>
  <c r="G8" i="1" s="1"/>
  <c r="M8" i="1" s="1"/>
  <c r="D26" i="1"/>
  <c r="F26" i="1" s="1"/>
  <c r="G26" i="1" s="1"/>
  <c r="M26" i="1" s="1"/>
  <c r="E9" i="1"/>
  <c r="G9" i="1" s="1"/>
  <c r="M9" i="1" s="1"/>
  <c r="D24" i="1"/>
  <c r="F24" i="1" s="1"/>
  <c r="G24" i="1" s="1"/>
  <c r="M24" i="1" s="1"/>
  <c r="E33" i="1"/>
  <c r="G33" i="1" s="1"/>
  <c r="M33" i="1" s="1"/>
  <c r="D29" i="1"/>
  <c r="F29" i="1" s="1"/>
  <c r="E29" i="1"/>
  <c r="D17" i="1"/>
  <c r="F17" i="1" s="1"/>
  <c r="E17" i="1"/>
  <c r="D5" i="1"/>
  <c r="F5" i="1" s="1"/>
  <c r="E5" i="1"/>
  <c r="D18" i="1"/>
  <c r="F18" i="1" s="1"/>
  <c r="E18" i="1"/>
  <c r="D30" i="1"/>
  <c r="F30" i="1" s="1"/>
  <c r="E30" i="1"/>
  <c r="D6" i="1"/>
  <c r="F6" i="1" s="1"/>
  <c r="E6" i="1"/>
  <c r="E28" i="1"/>
  <c r="G28" i="1" s="1"/>
  <c r="M28" i="1" s="1"/>
  <c r="E27" i="1"/>
  <c r="G27" i="1" s="1"/>
  <c r="M27" i="1" s="1"/>
  <c r="E15" i="1"/>
  <c r="G15" i="1" s="1"/>
  <c r="M15" i="1" s="1"/>
  <c r="E4" i="1"/>
  <c r="G4" i="1" s="1"/>
  <c r="M4" i="1" s="1"/>
  <c r="E16" i="1"/>
  <c r="G16" i="1" s="1"/>
  <c r="M16" i="1" s="1"/>
  <c r="G215" i="1" l="1"/>
  <c r="M215" i="1" s="1"/>
  <c r="G363" i="1"/>
  <c r="M363" i="1" s="1"/>
  <c r="G471" i="1"/>
  <c r="M471" i="1" s="1"/>
  <c r="G465" i="1"/>
  <c r="M465" i="1" s="1"/>
  <c r="G499" i="1"/>
  <c r="M499" i="1" s="1"/>
  <c r="G492" i="1"/>
  <c r="M492" i="1" s="1"/>
  <c r="G380" i="1"/>
  <c r="M380" i="1" s="1"/>
  <c r="G462" i="1"/>
  <c r="M462" i="1" s="1"/>
  <c r="G490" i="1"/>
  <c r="M490" i="1" s="1"/>
  <c r="G263" i="1"/>
  <c r="M263" i="1" s="1"/>
  <c r="G221" i="1"/>
  <c r="M221" i="1" s="1"/>
  <c r="G349" i="1"/>
  <c r="M349" i="1" s="1"/>
  <c r="G257" i="1"/>
  <c r="M257" i="1" s="1"/>
  <c r="G477" i="1"/>
  <c r="M477" i="1" s="1"/>
  <c r="G236" i="1"/>
  <c r="M236" i="1" s="1"/>
  <c r="G317" i="1"/>
  <c r="M317" i="1" s="1"/>
  <c r="G523" i="1"/>
  <c r="M523" i="1" s="1"/>
  <c r="G224" i="1"/>
  <c r="M224" i="1" s="1"/>
  <c r="G304" i="1"/>
  <c r="M304" i="1" s="1"/>
  <c r="G509" i="1"/>
  <c r="M509" i="1" s="1"/>
  <c r="G262" i="1"/>
  <c r="M262" i="1" s="1"/>
  <c r="G489" i="1"/>
  <c r="M489" i="1" s="1"/>
  <c r="G251" i="1"/>
  <c r="M251" i="1" s="1"/>
  <c r="G295" i="1"/>
  <c r="M295" i="1" s="1"/>
  <c r="G459" i="1"/>
  <c r="M459" i="1" s="1"/>
  <c r="G332" i="1"/>
  <c r="M332" i="1" s="1"/>
  <c r="G242" i="1"/>
  <c r="M242" i="1" s="1"/>
  <c r="G229" i="1"/>
  <c r="M229" i="1" s="1"/>
  <c r="G359" i="1"/>
  <c r="M359" i="1" s="1"/>
  <c r="G468" i="1"/>
  <c r="M468" i="1" s="1"/>
  <c r="G475" i="1"/>
  <c r="M475" i="1" s="1"/>
  <c r="G344" i="1"/>
  <c r="M344" i="1" s="1"/>
  <c r="G299" i="1"/>
  <c r="M299" i="1" s="1"/>
  <c r="G478" i="1"/>
  <c r="M478" i="1" s="1"/>
  <c r="G323" i="1"/>
  <c r="M323" i="1" s="1"/>
  <c r="G377" i="1"/>
  <c r="M377" i="1" s="1"/>
  <c r="G353" i="1"/>
  <c r="M353" i="1" s="1"/>
  <c r="G328" i="1"/>
  <c r="M328" i="1" s="1"/>
  <c r="G30" i="1"/>
  <c r="M30" i="1" s="1"/>
  <c r="G6" i="1"/>
  <c r="M6" i="1" s="1"/>
  <c r="G18" i="1"/>
  <c r="M18" i="1" s="1"/>
  <c r="G29" i="1"/>
  <c r="M29" i="1" s="1"/>
  <c r="G5" i="1"/>
  <c r="M5" i="1" s="1"/>
  <c r="G17" i="1"/>
  <c r="M17" i="1" s="1"/>
</calcChain>
</file>

<file path=xl/sharedStrings.xml><?xml version="1.0" encoding="utf-8"?>
<sst xmlns="http://schemas.openxmlformats.org/spreadsheetml/2006/main" count="18" uniqueCount="18">
  <si>
    <t>r</t>
  </si>
  <si>
    <t>T</t>
  </si>
  <si>
    <t>K</t>
  </si>
  <si>
    <t>S</t>
  </si>
  <si>
    <t>σ</t>
  </si>
  <si>
    <t>P</t>
  </si>
  <si>
    <t>d1</t>
  </si>
  <si>
    <t>d2</t>
  </si>
  <si>
    <t>N(d1)</t>
  </si>
  <si>
    <t>N(d2)</t>
  </si>
  <si>
    <t>C</t>
  </si>
  <si>
    <t>Δ</t>
  </si>
  <si>
    <t>θ</t>
  </si>
  <si>
    <t>γ</t>
  </si>
  <si>
    <t>ν</t>
  </si>
  <si>
    <t>PNL</t>
  </si>
  <si>
    <t>PNL option</t>
  </si>
  <si>
    <t>PNL position sous jacente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</si>
</sst>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Arial"/>
      <family val="2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3" fillId="2" borderId="2" xfId="0" applyFont="1" applyFill="1" applyBorder="1"/>
    <xf numFmtId="0" fontId="5" fillId="2" borderId="2" xfId="0" applyFont="1" applyFill="1" applyBorder="1"/>
    <xf numFmtId="0" fontId="1" fillId="2" borderId="3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7.36920384951881E-2"/>
          <c:y val="0.19486111111111112"/>
          <c:w val="0.89019685039370078"/>
          <c:h val="0.70841097987751533"/>
        </c:manualLayout>
      </c:layout>
      <c:lineChart>
        <c:grouping val="standard"/>
        <c:varyColors val="0"/>
        <c:ser>
          <c:idx val="0"/>
          <c:order val="0"/>
          <c:tx>
            <c:strRef>
              <c:f>Feuil1!$G$2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Feuil1!$G$3:$G$674</c:f>
              <c:numCache>
                <c:formatCode>General</c:formatCode>
                <c:ptCount val="672"/>
                <c:pt idx="0">
                  <c:v>4.0652205450334383E-7</c:v>
                </c:pt>
                <c:pt idx="1">
                  <c:v>2.7213372766260241E-5</c:v>
                </c:pt>
                <c:pt idx="2">
                  <c:v>2.468206334104463E-4</c:v>
                </c:pt>
                <c:pt idx="3">
                  <c:v>1.0548237692412938E-3</c:v>
                </c:pt>
                <c:pt idx="4">
                  <c:v>3.0551227534872088E-3</c:v>
                </c:pt>
                <c:pt idx="5">
                  <c:v>6.9951765347424262E-3</c:v>
                </c:pt>
                <c:pt idx="6">
                  <c:v>1.3701585896871586E-2</c:v>
                </c:pt>
                <c:pt idx="7">
                  <c:v>2.4029019193045953E-2</c:v>
                </c:pt>
                <c:pt idx="8">
                  <c:v>3.8823531939064168E-2</c:v>
                </c:pt>
                <c:pt idx="9">
                  <c:v>5.8897881626578968E-2</c:v>
                </c:pt>
                <c:pt idx="10">
                  <c:v>8.5015940402693169E-2</c:v>
                </c:pt>
                <c:pt idx="11">
                  <c:v>0.11788369231188456</c:v>
                </c:pt>
                <c:pt idx="12">
                  <c:v>0.15814485724947441</c:v>
                </c:pt>
                <c:pt idx="13">
                  <c:v>0.20637968817685437</c:v>
                </c:pt>
                <c:pt idx="14">
                  <c:v>0.26310588959649295</c:v>
                </c:pt>
                <c:pt idx="15">
                  <c:v>0.32878090747970778</c:v>
                </c:pt>
                <c:pt idx="16">
                  <c:v>0.40380506219419932</c:v>
                </c:pt>
                <c:pt idx="17">
                  <c:v>0.48852515578529254</c:v>
                </c:pt>
                <c:pt idx="18">
                  <c:v>0.58323829939174354</c:v>
                </c:pt>
                <c:pt idx="19">
                  <c:v>0.68819578808242299</c:v>
                </c:pt>
                <c:pt idx="20">
                  <c:v>0.80360690822075642</c:v>
                </c:pt>
                <c:pt idx="21">
                  <c:v>0.92964260331416715</c:v>
                </c:pt>
                <c:pt idx="22">
                  <c:v>1.0664389530217022</c:v>
                </c:pt>
                <c:pt idx="23">
                  <c:v>1.2141004400398985</c:v>
                </c:pt>
                <c:pt idx="24">
                  <c:v>1.3727029934450452</c:v>
                </c:pt>
                <c:pt idx="25">
                  <c:v>1.5422968065144667</c:v>
                </c:pt>
                <c:pt idx="26">
                  <c:v>1.7229089333513201</c:v>
                </c:pt>
                <c:pt idx="27">
                  <c:v>1.9145456727081887</c:v>
                </c:pt>
                <c:pt idx="28">
                  <c:v>2.1171947498989421</c:v>
                </c:pt>
                <c:pt idx="29">
                  <c:v>2.3308273090756488</c:v>
                </c:pt>
                <c:pt idx="30">
                  <c:v>2.555399728765444</c:v>
                </c:pt>
                <c:pt idx="31">
                  <c:v>2.7908552736537757</c:v>
                </c:pt>
                <c:pt idx="32">
                  <c:v>3.0371255953387166</c:v>
                </c:pt>
                <c:pt idx="33">
                  <c:v>3.294132094290692</c:v>
                </c:pt>
                <c:pt idx="34">
                  <c:v>3.561787154620764</c:v>
                </c:pt>
                <c:pt idx="35">
                  <c:v>3.8399952625512439</c:v>
                </c:pt>
                <c:pt idx="36">
                  <c:v>4.1286540187383904</c:v>
                </c:pt>
                <c:pt idx="37">
                  <c:v>4.4276550538479302</c:v>
                </c:pt>
                <c:pt idx="38">
                  <c:v>4.7368848560506205</c:v>
                </c:pt>
                <c:pt idx="39">
                  <c:v>5.0562255184002156</c:v>
                </c:pt>
                <c:pt idx="40">
                  <c:v>5.3855554133876922</c:v>
                </c:pt>
                <c:pt idx="41">
                  <c:v>5.7247498013383158</c:v>
                </c:pt>
                <c:pt idx="42">
                  <c:v>6.0736813787342925</c:v>
                </c:pt>
                <c:pt idx="43">
                  <c:v>6.4322207720047722</c:v>
                </c:pt>
                <c:pt idx="44">
                  <c:v>6.80023698182708</c:v>
                </c:pt>
                <c:pt idx="45">
                  <c:v>7.1775977825258117</c:v>
                </c:pt>
                <c:pt idx="46">
                  <c:v>7.564170080737842</c:v>
                </c:pt>
                <c:pt idx="47">
                  <c:v>7.9598202371293212</c:v>
                </c:pt>
                <c:pt idx="48">
                  <c:v>8.3644143546022764</c:v>
                </c:pt>
                <c:pt idx="49">
                  <c:v>8.7778185361117309</c:v>
                </c:pt>
                <c:pt idx="50">
                  <c:v>9.1998991149256337</c:v>
                </c:pt>
                <c:pt idx="51">
                  <c:v>9.6305228598986794</c:v>
                </c:pt>
                <c:pt idx="52">
                  <c:v>10.069557158092971</c:v>
                </c:pt>
                <c:pt idx="53">
                  <c:v>10.516870176863339</c:v>
                </c:pt>
                <c:pt idx="54">
                  <c:v>10.972331007329441</c:v>
                </c:pt>
                <c:pt idx="55">
                  <c:v>11.435809790979356</c:v>
                </c:pt>
                <c:pt idx="56">
                  <c:v>11.907177830989124</c:v>
                </c:pt>
                <c:pt idx="57">
                  <c:v>12.386307689696407</c:v>
                </c:pt>
                <c:pt idx="58">
                  <c:v>12.873073273534878</c:v>
                </c:pt>
                <c:pt idx="59">
                  <c:v>13.367349906615779</c:v>
                </c:pt>
                <c:pt idx="60">
                  <c:v>13.869014394034892</c:v>
                </c:pt>
                <c:pt idx="61">
                  <c:v>14.377945075884131</c:v>
                </c:pt>
                <c:pt idx="62">
                  <c:v>14.894021872858399</c:v>
                </c:pt>
                <c:pt idx="63">
                  <c:v>15.417126324266267</c:v>
                </c:pt>
                <c:pt idx="64">
                  <c:v>15.94714161918067</c:v>
                </c:pt>
                <c:pt idx="65">
                  <c:v>16.483952621397798</c:v>
                </c:pt>
                <c:pt idx="66">
                  <c:v>17.027445888812771</c:v>
                </c:pt>
                <c:pt idx="67">
                  <c:v>17.577509687764799</c:v>
                </c:pt>
                <c:pt idx="68">
                  <c:v>18.134034002855113</c:v>
                </c:pt>
                <c:pt idx="69">
                  <c:v>18.696910542694884</c:v>
                </c:pt>
                <c:pt idx="70">
                  <c:v>19.266032741999513</c:v>
                </c:pt>
                <c:pt idx="71">
                  <c:v>19.841295760407746</c:v>
                </c:pt>
                <c:pt idx="72">
                  <c:v>20.422596478369922</c:v>
                </c:pt>
                <c:pt idx="73">
                  <c:v>21.009833490418572</c:v>
                </c:pt>
                <c:pt idx="74">
                  <c:v>21.6029070961063</c:v>
                </c:pt>
                <c:pt idx="75">
                  <c:v>22.201719288869977</c:v>
                </c:pt>
                <c:pt idx="76">
                  <c:v>22.806173743056842</c:v>
                </c:pt>
                <c:pt idx="77">
                  <c:v>23.416175799326652</c:v>
                </c:pt>
                <c:pt idx="78">
                  <c:v>24.031632448624688</c:v>
                </c:pt>
                <c:pt idx="79">
                  <c:v>24.652452314902398</c:v>
                </c:pt>
                <c:pt idx="80">
                  <c:v>25.278545636746511</c:v>
                </c:pt>
                <c:pt idx="81">
                  <c:v>25.909824248062534</c:v>
                </c:pt>
                <c:pt idx="82">
                  <c:v>26.546201557945082</c:v>
                </c:pt>
                <c:pt idx="83">
                  <c:v>27.187592529855308</c:v>
                </c:pt>
                <c:pt idx="84">
                  <c:v>27.833913660214339</c:v>
                </c:pt>
                <c:pt idx="85">
                  <c:v>28.485082956511629</c:v>
                </c:pt>
                <c:pt idx="86">
                  <c:v>29.141019915017512</c:v>
                </c:pt>
                <c:pt idx="87">
                  <c:v>29.801645498180989</c:v>
                </c:pt>
                <c:pt idx="88">
                  <c:v>30.466882111785896</c:v>
                </c:pt>
                <c:pt idx="89">
                  <c:v>31.13665358193138</c:v>
                </c:pt>
                <c:pt idx="90">
                  <c:v>31.810885131896562</c:v>
                </c:pt>
                <c:pt idx="91">
                  <c:v>32.489503358942805</c:v>
                </c:pt>
                <c:pt idx="92">
                  <c:v>33.17243621110196</c:v>
                </c:pt>
                <c:pt idx="93">
                  <c:v>33.859612963994024</c:v>
                </c:pt>
                <c:pt idx="94">
                  <c:v>34.550964197712965</c:v>
                </c:pt>
                <c:pt idx="95">
                  <c:v>35.246421773815797</c:v>
                </c:pt>
                <c:pt idx="96">
                  <c:v>35.945918812445321</c:v>
                </c:pt>
                <c:pt idx="97">
                  <c:v>36.649389669615012</c:v>
                </c:pt>
                <c:pt idx="98">
                  <c:v>37.356769914679781</c:v>
                </c:pt>
                <c:pt idx="99">
                  <c:v>38.06799630801487</c:v>
                </c:pt>
                <c:pt idx="100">
                  <c:v>38.783006778921525</c:v>
                </c:pt>
                <c:pt idx="101">
                  <c:v>39.501740403776701</c:v>
                </c:pt>
                <c:pt idx="102">
                  <c:v>40.224137384440759</c:v>
                </c:pt>
                <c:pt idx="103">
                  <c:v>40.950139026936476</c:v>
                </c:pt>
                <c:pt idx="104">
                  <c:v>41.679687720409625</c:v>
                </c:pt>
                <c:pt idx="105">
                  <c:v>42.412726916380883</c:v>
                </c:pt>
                <c:pt idx="106">
                  <c:v>43.149201108296353</c:v>
                </c:pt>
                <c:pt idx="107">
                  <c:v>43.889055811383678</c:v>
                </c:pt>
                <c:pt idx="108">
                  <c:v>44.632237542818473</c:v>
                </c:pt>
                <c:pt idx="109">
                  <c:v>45.378693802205525</c:v>
                </c:pt>
                <c:pt idx="110">
                  <c:v>46.128373052377874</c:v>
                </c:pt>
                <c:pt idx="111">
                  <c:v>46.88122470051583</c:v>
                </c:pt>
                <c:pt idx="112">
                  <c:v>47.637199079587624</c:v>
                </c:pt>
                <c:pt idx="113">
                  <c:v>48.396247430112041</c:v>
                </c:pt>
                <c:pt idx="114">
                  <c:v>49.158321882243527</c:v>
                </c:pt>
                <c:pt idx="115">
                  <c:v>49.923375438178667</c:v>
                </c:pt>
                <c:pt idx="116">
                  <c:v>50.691361954883504</c:v>
                </c:pt>
                <c:pt idx="117">
                  <c:v>51.462236127139569</c:v>
                </c:pt>
                <c:pt idx="118">
                  <c:v>52.23595347090717</c:v>
                </c:pt>
                <c:pt idx="119">
                  <c:v>53.012470307002999</c:v>
                </c:pt>
                <c:pt idx="120">
                  <c:v>53.791743745089875</c:v>
                </c:pt>
                <c:pt idx="121">
                  <c:v>54.573731667975188</c:v>
                </c:pt>
                <c:pt idx="122">
                  <c:v>55.358392716215022</c:v>
                </c:pt>
                <c:pt idx="123">
                  <c:v>56.145686273020274</c:v>
                </c:pt>
                <c:pt idx="124">
                  <c:v>56.935572449461226</c:v>
                </c:pt>
                <c:pt idx="125">
                  <c:v>57.728012069966482</c:v>
                </c:pt>
                <c:pt idx="126">
                  <c:v>58.522966658112445</c:v>
                </c:pt>
                <c:pt idx="127">
                  <c:v>59.320398422698922</c:v>
                </c:pt>
                <c:pt idx="128">
                  <c:v>60.120270244106941</c:v>
                </c:pt>
                <c:pt idx="129">
                  <c:v>60.922545660933913</c:v>
                </c:pt>
                <c:pt idx="130">
                  <c:v>61.727188856902302</c:v>
                </c:pt>
                <c:pt idx="131">
                  <c:v>62.534164648036764</c:v>
                </c:pt>
                <c:pt idx="132">
                  <c:v>63.343438470105575</c:v>
                </c:pt>
                <c:pt idx="133">
                  <c:v>64.154976366321733</c:v>
                </c:pt>
                <c:pt idx="134">
                  <c:v>64.968744975298932</c:v>
                </c:pt>
                <c:pt idx="135">
                  <c:v>65.784711519258266</c:v>
                </c:pt>
                <c:pt idx="136">
                  <c:v>66.602843792480485</c:v>
                </c:pt>
                <c:pt idx="137">
                  <c:v>67.4231101499998</c:v>
                </c:pt>
                <c:pt idx="138">
                  <c:v>68.245479496534372</c:v>
                </c:pt>
                <c:pt idx="139">
                  <c:v>69.069921275648838</c:v>
                </c:pt>
                <c:pt idx="140">
                  <c:v>69.896405459144916</c:v>
                </c:pt>
                <c:pt idx="141">
                  <c:v>70.724902536674819</c:v>
                </c:pt>
                <c:pt idx="142">
                  <c:v>71.555383505573673</c:v>
                </c:pt>
                <c:pt idx="143">
                  <c:v>72.387819860906561</c:v>
                </c:pt>
                <c:pt idx="144">
                  <c:v>73.222183585725261</c:v>
                </c:pt>
                <c:pt idx="145">
                  <c:v>74.058447141531104</c:v>
                </c:pt>
                <c:pt idx="146">
                  <c:v>74.896583458939261</c:v>
                </c:pt>
                <c:pt idx="147">
                  <c:v>75.736565928540443</c:v>
                </c:pt>
                <c:pt idx="148">
                  <c:v>76.578368391956062</c:v>
                </c:pt>
                <c:pt idx="149">
                  <c:v>77.42196513308231</c:v>
                </c:pt>
                <c:pt idx="150">
                  <c:v>78.267330869519853</c:v>
                </c:pt>
                <c:pt idx="151">
                  <c:v>79.114440744184634</c:v>
                </c:pt>
                <c:pt idx="152">
                  <c:v>79.963270317096118</c:v>
                </c:pt>
                <c:pt idx="153">
                  <c:v>80.813795557339304</c:v>
                </c:pt>
                <c:pt idx="154">
                  <c:v>81.665992835196704</c:v>
                </c:pt>
                <c:pt idx="155">
                  <c:v>82.519838914446382</c:v>
                </c:pt>
                <c:pt idx="156">
                  <c:v>83.375310944822985</c:v>
                </c:pt>
                <c:pt idx="157">
                  <c:v>84.232386454637521</c:v>
                </c:pt>
                <c:pt idx="158">
                  <c:v>85.091043343553238</c:v>
                </c:pt>
                <c:pt idx="159">
                  <c:v>85.951259875513387</c:v>
                </c:pt>
                <c:pt idx="160">
                  <c:v>86.813014671818166</c:v>
                </c:pt>
                <c:pt idx="161">
                  <c:v>87.676286704347291</c:v>
                </c:pt>
                <c:pt idx="162">
                  <c:v>88.541055288925037</c:v>
                </c:pt>
                <c:pt idx="163">
                  <c:v>89.407300078824562</c:v>
                </c:pt>
                <c:pt idx="164">
                  <c:v>90.275001058408463</c:v>
                </c:pt>
                <c:pt idx="165">
                  <c:v>91.144138536902744</c:v>
                </c:pt>
                <c:pt idx="166">
                  <c:v>92.014693142301127</c:v>
                </c:pt>
                <c:pt idx="167">
                  <c:v>92.886645815396207</c:v>
                </c:pt>
                <c:pt idx="168">
                  <c:v>93.759977803936252</c:v>
                </c:pt>
                <c:pt idx="169">
                  <c:v>94.634670656902756</c:v>
                </c:pt>
                <c:pt idx="170">
                  <c:v>95.510706218907814</c:v>
                </c:pt>
                <c:pt idx="171">
                  <c:v>96.388066624707676</c:v>
                </c:pt>
                <c:pt idx="172">
                  <c:v>97.266734293830524</c:v>
                </c:pt>
                <c:pt idx="173">
                  <c:v>98.146691925314968</c:v>
                </c:pt>
                <c:pt idx="174">
                  <c:v>99.027922492558275</c:v>
                </c:pt>
                <c:pt idx="175">
                  <c:v>99.910409238270262</c:v>
                </c:pt>
                <c:pt idx="176">
                  <c:v>100.79413566953198</c:v>
                </c:pt>
                <c:pt idx="177">
                  <c:v>101.67908555295568</c:v>
                </c:pt>
                <c:pt idx="178">
                  <c:v>102.56524290994459</c:v>
                </c:pt>
                <c:pt idx="179">
                  <c:v>103.45259201204988</c:v>
                </c:pt>
                <c:pt idx="180">
                  <c:v>104.34111737642282</c:v>
                </c:pt>
                <c:pt idx="181">
                  <c:v>105.23080376135998</c:v>
                </c:pt>
                <c:pt idx="182">
                  <c:v>106.12163616193942</c:v>
                </c:pt>
                <c:pt idx="183">
                  <c:v>107.01359980574586</c:v>
                </c:pt>
                <c:pt idx="184">
                  <c:v>107.90668014868271</c:v>
                </c:pt>
                <c:pt idx="185">
                  <c:v>108.80086287086938</c:v>
                </c:pt>
                <c:pt idx="186">
                  <c:v>109.69613387262153</c:v>
                </c:pt>
                <c:pt idx="187">
                  <c:v>110.59247927051283</c:v>
                </c:pt>
                <c:pt idx="188">
                  <c:v>111.48988539351626</c:v>
                </c:pt>
                <c:pt idx="189">
                  <c:v>112.3883387792231</c:v>
                </c:pt>
                <c:pt idx="190">
                  <c:v>113.28782617013803</c:v>
                </c:pt>
                <c:pt idx="191">
                  <c:v>114.18833451004865</c:v>
                </c:pt>
                <c:pt idx="192">
                  <c:v>115.08985094046776</c:v>
                </c:pt>
                <c:pt idx="193">
                  <c:v>115.99236279714681</c:v>
                </c:pt>
                <c:pt idx="194">
                  <c:v>116.89585760665889</c:v>
                </c:pt>
                <c:pt idx="195">
                  <c:v>117.80032308304988</c:v>
                </c:pt>
                <c:pt idx="196">
                  <c:v>118.70574712455607</c:v>
                </c:pt>
                <c:pt idx="197">
                  <c:v>119.61211781038708</c:v>
                </c:pt>
                <c:pt idx="198">
                  <c:v>120.51942339757225</c:v>
                </c:pt>
                <c:pt idx="199">
                  <c:v>121.42765231786956</c:v>
                </c:pt>
                <c:pt idx="200">
                  <c:v>122.33679317473542</c:v>
                </c:pt>
                <c:pt idx="201">
                  <c:v>123.24683474035396</c:v>
                </c:pt>
                <c:pt idx="202">
                  <c:v>124.15776595272499</c:v>
                </c:pt>
                <c:pt idx="203">
                  <c:v>125.06957591280869</c:v>
                </c:pt>
                <c:pt idx="204">
                  <c:v>125.98225388172625</c:v>
                </c:pt>
                <c:pt idx="205">
                  <c:v>126.89578927801529</c:v>
                </c:pt>
                <c:pt idx="206">
                  <c:v>127.81017167493845</c:v>
                </c:pt>
                <c:pt idx="207">
                  <c:v>128.72539079784451</c:v>
                </c:pt>
                <c:pt idx="208">
                  <c:v>129.64143652158063</c:v>
                </c:pt>
                <c:pt idx="209">
                  <c:v>130.55829886795448</c:v>
                </c:pt>
                <c:pt idx="210">
                  <c:v>131.4759680032457</c:v>
                </c:pt>
                <c:pt idx="211">
                  <c:v>132.39443423576495</c:v>
                </c:pt>
                <c:pt idx="212">
                  <c:v>133.31368801346019</c:v>
                </c:pt>
                <c:pt idx="213">
                  <c:v>134.23371992156871</c:v>
                </c:pt>
                <c:pt idx="214">
                  <c:v>135.15452068031411</c:v>
                </c:pt>
                <c:pt idx="215">
                  <c:v>136.0760811426473</c:v>
                </c:pt>
                <c:pt idx="216">
                  <c:v>136.99839229203064</c:v>
                </c:pt>
                <c:pt idx="217">
                  <c:v>137.92144524026403</c:v>
                </c:pt>
                <c:pt idx="218">
                  <c:v>138.84523122535248</c:v>
                </c:pt>
                <c:pt idx="219">
                  <c:v>139.76974160941378</c:v>
                </c:pt>
                <c:pt idx="220">
                  <c:v>140.69496787662601</c:v>
                </c:pt>
                <c:pt idx="221">
                  <c:v>141.62090163121354</c:v>
                </c:pt>
                <c:pt idx="222">
                  <c:v>142.54753459547089</c:v>
                </c:pt>
                <c:pt idx="223">
                  <c:v>143.47485860782393</c:v>
                </c:pt>
                <c:pt idx="224">
                  <c:v>144.40286562092712</c:v>
                </c:pt>
                <c:pt idx="225">
                  <c:v>145.33154769979626</c:v>
                </c:pt>
                <c:pt idx="226">
                  <c:v>146.2608970199766</c:v>
                </c:pt>
                <c:pt idx="227">
                  <c:v>147.19090586574416</c:v>
                </c:pt>
                <c:pt idx="228">
                  <c:v>148.12156662834133</c:v>
                </c:pt>
                <c:pt idx="229">
                  <c:v>149.05287180424457</c:v>
                </c:pt>
                <c:pt idx="230">
                  <c:v>149.98481399346423</c:v>
                </c:pt>
                <c:pt idx="231">
                  <c:v>150.91738589787599</c:v>
                </c:pt>
                <c:pt idx="232">
                  <c:v>151.8505803195826</c:v>
                </c:pt>
                <c:pt idx="233">
                  <c:v>152.7843901593061</c:v>
                </c:pt>
                <c:pt idx="234">
                  <c:v>153.71880841480927</c:v>
                </c:pt>
                <c:pt idx="235">
                  <c:v>154.65382817934579</c:v>
                </c:pt>
                <c:pt idx="236">
                  <c:v>155.58944264013923</c:v>
                </c:pt>
                <c:pt idx="237">
                  <c:v>156.52564507688879</c:v>
                </c:pt>
                <c:pt idx="238">
                  <c:v>157.46242886030348</c:v>
                </c:pt>
                <c:pt idx="239">
                  <c:v>158.39978745066134</c:v>
                </c:pt>
                <c:pt idx="240">
                  <c:v>159.33771439639605</c:v>
                </c:pt>
                <c:pt idx="241">
                  <c:v>160.27620333270823</c:v>
                </c:pt>
                <c:pt idx="242">
                  <c:v>161.21524798020192</c:v>
                </c:pt>
                <c:pt idx="243">
                  <c:v>162.15484214354581</c:v>
                </c:pt>
                <c:pt idx="244">
                  <c:v>163.09497971015813</c:v>
                </c:pt>
                <c:pt idx="245">
                  <c:v>164.03565464891517</c:v>
                </c:pt>
                <c:pt idx="246">
                  <c:v>164.97686100888285</c:v>
                </c:pt>
                <c:pt idx="247">
                  <c:v>165.91859291807117</c:v>
                </c:pt>
                <c:pt idx="248">
                  <c:v>166.86084458220998</c:v>
                </c:pt>
                <c:pt idx="249">
                  <c:v>167.80361028354744</c:v>
                </c:pt>
                <c:pt idx="250">
                  <c:v>168.74688437966898</c:v>
                </c:pt>
                <c:pt idx="251">
                  <c:v>169.69066130233765</c:v>
                </c:pt>
                <c:pt idx="252">
                  <c:v>170.63493555635426</c:v>
                </c:pt>
                <c:pt idx="253">
                  <c:v>171.5797017184382</c:v>
                </c:pt>
                <c:pt idx="254">
                  <c:v>172.52495443612759</c:v>
                </c:pt>
                <c:pt idx="255">
                  <c:v>173.47068842669853</c:v>
                </c:pt>
                <c:pt idx="256">
                  <c:v>174.41689847610346</c:v>
                </c:pt>
                <c:pt idx="257">
                  <c:v>175.36357943792797</c:v>
                </c:pt>
                <c:pt idx="258">
                  <c:v>176.31072623236551</c:v>
                </c:pt>
                <c:pt idx="259">
                  <c:v>177.25833384521025</c:v>
                </c:pt>
                <c:pt idx="260">
                  <c:v>178.20639732686712</c:v>
                </c:pt>
                <c:pt idx="261">
                  <c:v>179.15491179137894</c:v>
                </c:pt>
                <c:pt idx="262">
                  <c:v>180.10387241547045</c:v>
                </c:pt>
                <c:pt idx="263">
                  <c:v>181.05327443760859</c:v>
                </c:pt>
                <c:pt idx="264">
                  <c:v>182.00311315707927</c:v>
                </c:pt>
                <c:pt idx="265">
                  <c:v>182.95338393307941</c:v>
                </c:pt>
                <c:pt idx="266">
                  <c:v>183.90408218382493</c:v>
                </c:pt>
                <c:pt idx="267">
                  <c:v>184.85520338567372</c:v>
                </c:pt>
                <c:pt idx="268">
                  <c:v>185.8067430722636</c:v>
                </c:pt>
                <c:pt idx="269">
                  <c:v>186.75869683366483</c:v>
                </c:pt>
                <c:pt idx="270">
                  <c:v>187.71106031554734</c:v>
                </c:pt>
                <c:pt idx="271">
                  <c:v>188.66382921836134</c:v>
                </c:pt>
                <c:pt idx="272">
                  <c:v>189.61699929653233</c:v>
                </c:pt>
                <c:pt idx="273">
                  <c:v>190.57056635766961</c:v>
                </c:pt>
                <c:pt idx="274">
                  <c:v>191.52452626178774</c:v>
                </c:pt>
                <c:pt idx="275">
                  <c:v>192.47887492054119</c:v>
                </c:pt>
                <c:pt idx="276">
                  <c:v>193.43360829647213</c:v>
                </c:pt>
                <c:pt idx="277">
                  <c:v>194.38872240227025</c:v>
                </c:pt>
                <c:pt idx="278">
                  <c:v>195.34421330004528</c:v>
                </c:pt>
                <c:pt idx="279">
                  <c:v>196.3000771006113</c:v>
                </c:pt>
                <c:pt idx="280">
                  <c:v>197.25630996278318</c:v>
                </c:pt>
                <c:pt idx="281">
                  <c:v>198.21290809268444</c:v>
                </c:pt>
                <c:pt idx="282">
                  <c:v>199.16986774306699</c:v>
                </c:pt>
                <c:pt idx="283">
                  <c:v>200.12718521264122</c:v>
                </c:pt>
                <c:pt idx="284">
                  <c:v>201.08485684541796</c:v>
                </c:pt>
                <c:pt idx="285">
                  <c:v>202.04287903006082</c:v>
                </c:pt>
                <c:pt idx="286">
                  <c:v>203.00124819924909</c:v>
                </c:pt>
                <c:pt idx="287">
                  <c:v>203.95996082905151</c:v>
                </c:pt>
                <c:pt idx="288">
                  <c:v>204.91901343830932</c:v>
                </c:pt>
                <c:pt idx="289">
                  <c:v>205.87840258803058</c:v>
                </c:pt>
                <c:pt idx="290">
                  <c:v>206.83812488079303</c:v>
                </c:pt>
                <c:pt idx="291">
                  <c:v>207.79817696015789</c:v>
                </c:pt>
                <c:pt idx="292">
                  <c:v>208.75855551009209</c:v>
                </c:pt>
                <c:pt idx="293">
                  <c:v>209.71925725440033</c:v>
                </c:pt>
                <c:pt idx="294">
                  <c:v>210.68027895616626</c:v>
                </c:pt>
                <c:pt idx="295">
                  <c:v>211.64161741720267</c:v>
                </c:pt>
                <c:pt idx="296">
                  <c:v>212.60326947751008</c:v>
                </c:pt>
                <c:pt idx="297">
                  <c:v>213.56523201474474</c:v>
                </c:pt>
                <c:pt idx="298">
                  <c:v>214.5275019436944</c:v>
                </c:pt>
                <c:pt idx="299">
                  <c:v>215.49007621576277</c:v>
                </c:pt>
                <c:pt idx="300">
                  <c:v>216.4529518184624</c:v>
                </c:pt>
                <c:pt idx="301">
                  <c:v>217.41612577491489</c:v>
                </c:pt>
                <c:pt idx="302">
                  <c:v>218.37959514335989</c:v>
                </c:pt>
                <c:pt idx="303">
                  <c:v>219.34335701667146</c:v>
                </c:pt>
                <c:pt idx="304">
                  <c:v>220.3074085218816</c:v>
                </c:pt>
                <c:pt idx="305">
                  <c:v>221.27174681971223</c:v>
                </c:pt>
                <c:pt idx="306">
                  <c:v>222.23636910411381</c:v>
                </c:pt>
                <c:pt idx="307">
                  <c:v>223.20127260181124</c:v>
                </c:pt>
                <c:pt idx="308">
                  <c:v>224.16645457185746</c:v>
                </c:pt>
                <c:pt idx="309">
                  <c:v>225.13191230519317</c:v>
                </c:pt>
                <c:pt idx="310">
                  <c:v>226.09764312421393</c:v>
                </c:pt>
                <c:pt idx="311">
                  <c:v>227.06364438234425</c:v>
                </c:pt>
                <c:pt idx="312">
                  <c:v>228.0299134636175</c:v>
                </c:pt>
                <c:pt idx="313">
                  <c:v>228.99644778226275</c:v>
                </c:pt>
                <c:pt idx="314">
                  <c:v>229.96324478229835</c:v>
                </c:pt>
                <c:pt idx="315">
                  <c:v>230.93030193713133</c:v>
                </c:pt>
                <c:pt idx="316">
                  <c:v>231.89761674916278</c:v>
                </c:pt>
                <c:pt idx="317">
                  <c:v>232.86518674940012</c:v>
                </c:pt>
                <c:pt idx="318">
                  <c:v>233.83300949707427</c:v>
                </c:pt>
                <c:pt idx="319">
                  <c:v>234.80108257926349</c:v>
                </c:pt>
                <c:pt idx="320">
                  <c:v>235.7694036105226</c:v>
                </c:pt>
                <c:pt idx="321">
                  <c:v>236.73797023251799</c:v>
                </c:pt>
                <c:pt idx="322">
                  <c:v>237.70678011366812</c:v>
                </c:pt>
                <c:pt idx="323">
                  <c:v>238.67583094878927</c:v>
                </c:pt>
                <c:pt idx="324">
                  <c:v>239.64512045874716</c:v>
                </c:pt>
                <c:pt idx="325">
                  <c:v>240.61464639011336</c:v>
                </c:pt>
                <c:pt idx="326">
                  <c:v>241.58440651482715</c:v>
                </c:pt>
                <c:pt idx="327">
                  <c:v>242.55439862986242</c:v>
                </c:pt>
                <c:pt idx="328">
                  <c:v>243.52462055689961</c:v>
                </c:pt>
                <c:pt idx="329">
                  <c:v>244.49507014200222</c:v>
                </c:pt>
                <c:pt idx="330">
                  <c:v>245.46574525529894</c:v>
                </c:pt>
                <c:pt idx="331">
                  <c:v>246.43664379066962</c:v>
                </c:pt>
                <c:pt idx="332">
                  <c:v>247.40776366543685</c:v>
                </c:pt>
                <c:pt idx="333">
                  <c:v>248.37910282006112</c:v>
                </c:pt>
                <c:pt idx="334">
                  <c:v>249.35065921784133</c:v>
                </c:pt>
                <c:pt idx="335">
                  <c:v>250.32243084461962</c:v>
                </c:pt>
                <c:pt idx="336">
                  <c:v>251.29441570848996</c:v>
                </c:pt>
                <c:pt idx="337">
                  <c:v>252.266611839512</c:v>
                </c:pt>
                <c:pt idx="338">
                  <c:v>253.23901728942815</c:v>
                </c:pt>
                <c:pt idx="339">
                  <c:v>254.21163013138573</c:v>
                </c:pt>
                <c:pt idx="340">
                  <c:v>255.18444845966252</c:v>
                </c:pt>
                <c:pt idx="341">
                  <c:v>256.15747038939662</c:v>
                </c:pt>
                <c:pt idx="342">
                  <c:v>257.13069405632052</c:v>
                </c:pt>
                <c:pt idx="343">
                  <c:v>258.10411761649834</c:v>
                </c:pt>
                <c:pt idx="344">
                  <c:v>259.07773924606761</c:v>
                </c:pt>
                <c:pt idx="345">
                  <c:v>260.05155714098464</c:v>
                </c:pt>
                <c:pt idx="346">
                  <c:v>261.0255695167732</c:v>
                </c:pt>
                <c:pt idx="347">
                  <c:v>261.99977460827733</c:v>
                </c:pt>
                <c:pt idx="348">
                  <c:v>262.97417066941739</c:v>
                </c:pt>
                <c:pt idx="349">
                  <c:v>263.94875597295015</c:v>
                </c:pt>
                <c:pt idx="350">
                  <c:v>264.92352881023129</c:v>
                </c:pt>
                <c:pt idx="351">
                  <c:v>265.89848749098269</c:v>
                </c:pt>
                <c:pt idx="352">
                  <c:v>266.8736303430619</c:v>
                </c:pt>
                <c:pt idx="353">
                  <c:v>267.84895571223569</c:v>
                </c:pt>
                <c:pt idx="354">
                  <c:v>268.82446196195622</c:v>
                </c:pt>
                <c:pt idx="355">
                  <c:v>269.80014747314107</c:v>
                </c:pt>
                <c:pt idx="356">
                  <c:v>270.77601064395577</c:v>
                </c:pt>
                <c:pt idx="357">
                  <c:v>271.75204988959985</c:v>
                </c:pt>
                <c:pt idx="358">
                  <c:v>272.72826364209578</c:v>
                </c:pt>
                <c:pt idx="359">
                  <c:v>273.7046503500809</c:v>
                </c:pt>
                <c:pt idx="360">
                  <c:v>274.68120847860234</c:v>
                </c:pt>
                <c:pt idx="361">
                  <c:v>275.65793650891482</c:v>
                </c:pt>
                <c:pt idx="362">
                  <c:v>276.63483293828119</c:v>
                </c:pt>
                <c:pt idx="363">
                  <c:v>277.61189627977581</c:v>
                </c:pt>
                <c:pt idx="364">
                  <c:v>278.5891250620914</c:v>
                </c:pt>
                <c:pt idx="365">
                  <c:v>279.56651782934699</c:v>
                </c:pt>
                <c:pt idx="366">
                  <c:v>280.5440731409002</c:v>
                </c:pt>
                <c:pt idx="367">
                  <c:v>281.52178957116115</c:v>
                </c:pt>
                <c:pt idx="368">
                  <c:v>282.49966570940967</c:v>
                </c:pt>
                <c:pt idx="369">
                  <c:v>283.47770015961413</c:v>
                </c:pt>
                <c:pt idx="370">
                  <c:v>284.45589154025396</c:v>
                </c:pt>
                <c:pt idx="371">
                  <c:v>285.43423848414341</c:v>
                </c:pt>
                <c:pt idx="372">
                  <c:v>286.41273963825876</c:v>
                </c:pt>
                <c:pt idx="373">
                  <c:v>287.39139366356738</c:v>
                </c:pt>
                <c:pt idx="374">
                  <c:v>288.37019923485917</c:v>
                </c:pt>
                <c:pt idx="375">
                  <c:v>289.34915504058051</c:v>
                </c:pt>
                <c:pt idx="376">
                  <c:v>290.32825978267067</c:v>
                </c:pt>
                <c:pt idx="377">
                  <c:v>291.3075121763996</c:v>
                </c:pt>
                <c:pt idx="378">
                  <c:v>292.28691095020923</c:v>
                </c:pt>
                <c:pt idx="379">
                  <c:v>293.2664548455557</c:v>
                </c:pt>
                <c:pt idx="380">
                  <c:v>294.24614261675475</c:v>
                </c:pt>
                <c:pt idx="381">
                  <c:v>295.22597303082841</c:v>
                </c:pt>
                <c:pt idx="382">
                  <c:v>296.20594486735456</c:v>
                </c:pt>
                <c:pt idx="383">
                  <c:v>297.18605691831743</c:v>
                </c:pt>
                <c:pt idx="384">
                  <c:v>298.16630798796166</c:v>
                </c:pt>
                <c:pt idx="385">
                  <c:v>299.1466968926469</c:v>
                </c:pt>
                <c:pt idx="386">
                  <c:v>300.12722246070507</c:v>
                </c:pt>
                <c:pt idx="387">
                  <c:v>301.10788353229952</c:v>
                </c:pt>
                <c:pt idx="388">
                  <c:v>302.08867895928597</c:v>
                </c:pt>
                <c:pt idx="389">
                  <c:v>303.06960760507536</c:v>
                </c:pt>
                <c:pt idx="390">
                  <c:v>304.05066834449866</c:v>
                </c:pt>
                <c:pt idx="391">
                  <c:v>305.03186006367281</c:v>
                </c:pt>
                <c:pt idx="392">
                  <c:v>306.01318165986987</c:v>
                </c:pt>
                <c:pt idx="393">
                  <c:v>306.99463204138641</c:v>
                </c:pt>
                <c:pt idx="394">
                  <c:v>307.97621012741541</c:v>
                </c:pt>
                <c:pt idx="395">
                  <c:v>308.95791484791988</c:v>
                </c:pt>
                <c:pt idx="396">
                  <c:v>309.93974514350782</c:v>
                </c:pt>
                <c:pt idx="397">
                  <c:v>310.92169996530924</c:v>
                </c:pt>
                <c:pt idx="398">
                  <c:v>311.90377827485463</c:v>
                </c:pt>
                <c:pt idx="399">
                  <c:v>312.88597904395453</c:v>
                </c:pt>
                <c:pt idx="400">
                  <c:v>313.8683012545817</c:v>
                </c:pt>
                <c:pt idx="401">
                  <c:v>314.85074389875399</c:v>
                </c:pt>
                <c:pt idx="402">
                  <c:v>315.8333059784195</c:v>
                </c:pt>
                <c:pt idx="403">
                  <c:v>316.81598650534215</c:v>
                </c:pt>
                <c:pt idx="404">
                  <c:v>317.79878450098988</c:v>
                </c:pt>
                <c:pt idx="405">
                  <c:v>318.7816989964237</c:v>
                </c:pt>
                <c:pt idx="406">
                  <c:v>319.76472903218826</c:v>
                </c:pt>
                <c:pt idx="407">
                  <c:v>320.74787365820418</c:v>
                </c:pt>
                <c:pt idx="408">
                  <c:v>321.73113193366123</c:v>
                </c:pt>
                <c:pt idx="409">
                  <c:v>322.71450292691321</c:v>
                </c:pt>
                <c:pt idx="410">
                  <c:v>323.69798571537439</c:v>
                </c:pt>
                <c:pt idx="411">
                  <c:v>324.68157938541685</c:v>
                </c:pt>
                <c:pt idx="412">
                  <c:v>325.66528303226954</c:v>
                </c:pt>
                <c:pt idx="413">
                  <c:v>326.64909575991828</c:v>
                </c:pt>
                <c:pt idx="414">
                  <c:v>327.63301668100723</c:v>
                </c:pt>
                <c:pt idx="415">
                  <c:v>328.61704491674209</c:v>
                </c:pt>
                <c:pt idx="416">
                  <c:v>329.6011795967932</c:v>
                </c:pt>
                <c:pt idx="417">
                  <c:v>330.58541985920181</c:v>
                </c:pt>
                <c:pt idx="418">
                  <c:v>331.56976485028571</c:v>
                </c:pt>
                <c:pt idx="419">
                  <c:v>332.55421372454731</c:v>
                </c:pt>
                <c:pt idx="420">
                  <c:v>333.53876564458204</c:v>
                </c:pt>
                <c:pt idx="421">
                  <c:v>334.52341978098883</c:v>
                </c:pt>
                <c:pt idx="422">
                  <c:v>335.50817531228085</c:v>
                </c:pt>
                <c:pt idx="423">
                  <c:v>336.493031424798</c:v>
                </c:pt>
                <c:pt idx="424">
                  <c:v>337.4779873126198</c:v>
                </c:pt>
                <c:pt idx="425">
                  <c:v>338.46304217748053</c:v>
                </c:pt>
                <c:pt idx="426">
                  <c:v>339.44819522868426</c:v>
                </c:pt>
                <c:pt idx="427">
                  <c:v>340.43344568302143</c:v>
                </c:pt>
                <c:pt idx="428">
                  <c:v>341.418792764687</c:v>
                </c:pt>
                <c:pt idx="429">
                  <c:v>342.40423570519857</c:v>
                </c:pt>
                <c:pt idx="430">
                  <c:v>343.3897737433162</c:v>
                </c:pt>
                <c:pt idx="431">
                  <c:v>344.37540612496349</c:v>
                </c:pt>
                <c:pt idx="432">
                  <c:v>345.3611321031488</c:v>
                </c:pt>
                <c:pt idx="433">
                  <c:v>346.34695093788827</c:v>
                </c:pt>
                <c:pt idx="434">
                  <c:v>347.33286189612915</c:v>
                </c:pt>
                <c:pt idx="435">
                  <c:v>348.31886425167465</c:v>
                </c:pt>
                <c:pt idx="436">
                  <c:v>349.30495728510971</c:v>
                </c:pt>
                <c:pt idx="437">
                  <c:v>350.29114028372646</c:v>
                </c:pt>
                <c:pt idx="438">
                  <c:v>351.27741254145292</c:v>
                </c:pt>
                <c:pt idx="439">
                  <c:v>352.26377335878021</c:v>
                </c:pt>
                <c:pt idx="440">
                  <c:v>353.25022204269214</c:v>
                </c:pt>
                <c:pt idx="441">
                  <c:v>354.23675790659547</c:v>
                </c:pt>
                <c:pt idx="442">
                  <c:v>355.22338027025012</c:v>
                </c:pt>
                <c:pt idx="443">
                  <c:v>356.21008845970158</c:v>
                </c:pt>
                <c:pt idx="444">
                  <c:v>357.196881807213</c:v>
                </c:pt>
                <c:pt idx="445">
                  <c:v>358.1837596511989</c:v>
                </c:pt>
                <c:pt idx="446">
                  <c:v>359.17072133615932</c:v>
                </c:pt>
                <c:pt idx="447">
                  <c:v>360.15776621261455</c:v>
                </c:pt>
                <c:pt idx="448">
                  <c:v>361.14489363704138</c:v>
                </c:pt>
                <c:pt idx="449">
                  <c:v>362.1321029718095</c:v>
                </c:pt>
                <c:pt idx="450">
                  <c:v>363.1193935851187</c:v>
                </c:pt>
                <c:pt idx="451">
                  <c:v>364.10676485093734</c:v>
                </c:pt>
                <c:pt idx="452">
                  <c:v>365.09421614894075</c:v>
                </c:pt>
                <c:pt idx="453">
                  <c:v>366.08174686445136</c:v>
                </c:pt>
                <c:pt idx="454">
                  <c:v>367.06935638837848</c:v>
                </c:pt>
                <c:pt idx="455">
                  <c:v>368.05704411716016</c:v>
                </c:pt>
                <c:pt idx="456">
                  <c:v>369.04480945270404</c:v>
                </c:pt>
                <c:pt idx="457">
                  <c:v>370.03265180233041</c:v>
                </c:pt>
                <c:pt idx="458">
                  <c:v>371.02057057871525</c:v>
                </c:pt>
                <c:pt idx="459">
                  <c:v>372.00856519983392</c:v>
                </c:pt>
                <c:pt idx="460">
                  <c:v>372.99663508890598</c:v>
                </c:pt>
                <c:pt idx="461">
                  <c:v>373.98477967433996</c:v>
                </c:pt>
                <c:pt idx="462">
                  <c:v>374.97299838967973</c:v>
                </c:pt>
                <c:pt idx="463">
                  <c:v>375.96129067355031</c:v>
                </c:pt>
                <c:pt idx="464">
                  <c:v>376.94965596960549</c:v>
                </c:pt>
                <c:pt idx="465">
                  <c:v>377.93809372647553</c:v>
                </c:pt>
                <c:pt idx="466">
                  <c:v>378.92660339771533</c:v>
                </c:pt>
                <c:pt idx="467">
                  <c:v>379.91518444175341</c:v>
                </c:pt>
                <c:pt idx="468">
                  <c:v>380.90383632184171</c:v>
                </c:pt>
                <c:pt idx="469">
                  <c:v>381.89255850600557</c:v>
                </c:pt>
                <c:pt idx="470">
                  <c:v>382.88135046699438</c:v>
                </c:pt>
                <c:pt idx="471">
                  <c:v>383.87021168223356</c:v>
                </c:pt>
                <c:pt idx="472">
                  <c:v>384.85914163377538</c:v>
                </c:pt>
                <c:pt idx="473">
                  <c:v>385.84813980825254</c:v>
                </c:pt>
                <c:pt idx="474">
                  <c:v>386.83720569683055</c:v>
                </c:pt>
                <c:pt idx="475">
                  <c:v>387.82633879516146</c:v>
                </c:pt>
                <c:pt idx="476">
                  <c:v>388.81553860333793</c:v>
                </c:pt>
                <c:pt idx="477">
                  <c:v>389.80480462584831</c:v>
                </c:pt>
                <c:pt idx="478">
                  <c:v>390.79413637153107</c:v>
                </c:pt>
                <c:pt idx="479">
                  <c:v>391.7835333535312</c:v>
                </c:pt>
                <c:pt idx="480">
                  <c:v>392.7729950892562</c:v>
                </c:pt>
                <c:pt idx="481">
                  <c:v>393.76252110033261</c:v>
                </c:pt>
                <c:pt idx="482">
                  <c:v>394.75211091256347</c:v>
                </c:pt>
                <c:pt idx="483">
                  <c:v>395.74176405588611</c:v>
                </c:pt>
                <c:pt idx="484">
                  <c:v>396.73148006433019</c:v>
                </c:pt>
                <c:pt idx="485">
                  <c:v>397.7212584759763</c:v>
                </c:pt>
                <c:pt idx="486">
                  <c:v>398.71109883291564</c:v>
                </c:pt>
                <c:pt idx="487">
                  <c:v>399.701000681209</c:v>
                </c:pt>
                <c:pt idx="488">
                  <c:v>400.69096357084743</c:v>
                </c:pt>
                <c:pt idx="489">
                  <c:v>401.68098705571242</c:v>
                </c:pt>
                <c:pt idx="490">
                  <c:v>402.6710706935371</c:v>
                </c:pt>
                <c:pt idx="491">
                  <c:v>403.66121404586767</c:v>
                </c:pt>
                <c:pt idx="492">
                  <c:v>404.65141667802527</c:v>
                </c:pt>
                <c:pt idx="493">
                  <c:v>405.64167815906831</c:v>
                </c:pt>
                <c:pt idx="494">
                  <c:v>406.63199806175544</c:v>
                </c:pt>
                <c:pt idx="495">
                  <c:v>407.62237596250833</c:v>
                </c:pt>
                <c:pt idx="496">
                  <c:v>408.6128114413757</c:v>
                </c:pt>
                <c:pt idx="497">
                  <c:v>409.60330408199695</c:v>
                </c:pt>
                <c:pt idx="498">
                  <c:v>410.59385347156694</c:v>
                </c:pt>
                <c:pt idx="499">
                  <c:v>411.58445920080044</c:v>
                </c:pt>
                <c:pt idx="500">
                  <c:v>412.57512086389801</c:v>
                </c:pt>
                <c:pt idx="501">
                  <c:v>413.56583805851062</c:v>
                </c:pt>
                <c:pt idx="502">
                  <c:v>414.55661038570656</c:v>
                </c:pt>
                <c:pt idx="503">
                  <c:v>415.54743744993743</c:v>
                </c:pt>
                <c:pt idx="504">
                  <c:v>416.53831885900479</c:v>
                </c:pt>
                <c:pt idx="505">
                  <c:v>417.52925422402757</c:v>
                </c:pt>
                <c:pt idx="506">
                  <c:v>418.5202431594094</c:v>
                </c:pt>
                <c:pt idx="507">
                  <c:v>419.51128528280651</c:v>
                </c:pt>
                <c:pt idx="508">
                  <c:v>420.50238021509608</c:v>
                </c:pt>
                <c:pt idx="509">
                  <c:v>421.49352758034456</c:v>
                </c:pt>
                <c:pt idx="510">
                  <c:v>422.48472700577656</c:v>
                </c:pt>
                <c:pt idx="511">
                  <c:v>423.47597812174479</c:v>
                </c:pt>
                <c:pt idx="512">
                  <c:v>424.46728056169883</c:v>
                </c:pt>
                <c:pt idx="513">
                  <c:v>425.45863396215532</c:v>
                </c:pt>
                <c:pt idx="514">
                  <c:v>426.45003796266866</c:v>
                </c:pt>
                <c:pt idx="515">
                  <c:v>427.44149220580118</c:v>
                </c:pt>
                <c:pt idx="516">
                  <c:v>428.4329963370941</c:v>
                </c:pt>
                <c:pt idx="517">
                  <c:v>429.42455000503884</c:v>
                </c:pt>
                <c:pt idx="518">
                  <c:v>430.41615286104906</c:v>
                </c:pt>
                <c:pt idx="519">
                  <c:v>431.40780455943138</c:v>
                </c:pt>
                <c:pt idx="520">
                  <c:v>432.39950475735924</c:v>
                </c:pt>
                <c:pt idx="521">
                  <c:v>433.39125311484349</c:v>
                </c:pt>
                <c:pt idx="522">
                  <c:v>434.38304929470695</c:v>
                </c:pt>
                <c:pt idx="523">
                  <c:v>435.37489296255626</c:v>
                </c:pt>
                <c:pt idx="524">
                  <c:v>436.36678378675566</c:v>
                </c:pt>
                <c:pt idx="525">
                  <c:v>437.35872143840112</c:v>
                </c:pt>
                <c:pt idx="526">
                  <c:v>438.35070559129372</c:v>
                </c:pt>
                <c:pt idx="527">
                  <c:v>439.3427359219138</c:v>
                </c:pt>
                <c:pt idx="528">
                  <c:v>440.33481210939624</c:v>
                </c:pt>
                <c:pt idx="529">
                  <c:v>441.32693383550429</c:v>
                </c:pt>
                <c:pt idx="530">
                  <c:v>442.31910078460567</c:v>
                </c:pt>
                <c:pt idx="531">
                  <c:v>443.311312643647</c:v>
                </c:pt>
                <c:pt idx="532">
                  <c:v>444.30356910212998</c:v>
                </c:pt>
                <c:pt idx="533">
                  <c:v>445.29586985208698</c:v>
                </c:pt>
                <c:pt idx="534">
                  <c:v>446.28821458805714</c:v>
                </c:pt>
                <c:pt idx="535">
                  <c:v>447.28060300706329</c:v>
                </c:pt>
                <c:pt idx="536">
                  <c:v>448.27303480858785</c:v>
                </c:pt>
                <c:pt idx="537">
                  <c:v>449.26550969455002</c:v>
                </c:pt>
                <c:pt idx="538">
                  <c:v>450.2580273692833</c:v>
                </c:pt>
                <c:pt idx="539">
                  <c:v>451.25058753951214</c:v>
                </c:pt>
                <c:pt idx="540">
                  <c:v>452.24318991433012</c:v>
                </c:pt>
                <c:pt idx="541">
                  <c:v>453.23583420517781</c:v>
                </c:pt>
                <c:pt idx="542">
                  <c:v>454.22852012582041</c:v>
                </c:pt>
                <c:pt idx="543">
                  <c:v>455.22124739232669</c:v>
                </c:pt>
                <c:pt idx="544">
                  <c:v>456.21401572304694</c:v>
                </c:pt>
                <c:pt idx="545">
                  <c:v>457.20682483859207</c:v>
                </c:pt>
                <c:pt idx="546">
                  <c:v>458.199674461813</c:v>
                </c:pt>
                <c:pt idx="547">
                  <c:v>459.19256431777916</c:v>
                </c:pt>
                <c:pt idx="548">
                  <c:v>460.18549413375825</c:v>
                </c:pt>
                <c:pt idx="549">
                  <c:v>461.17846363919614</c:v>
                </c:pt>
                <c:pt idx="550">
                  <c:v>462.1714725656966</c:v>
                </c:pt>
                <c:pt idx="551">
                  <c:v>463.16452064700115</c:v>
                </c:pt>
                <c:pt idx="552">
                  <c:v>464.15760761896985</c:v>
                </c:pt>
                <c:pt idx="553">
                  <c:v>465.15073321956129</c:v>
                </c:pt>
                <c:pt idx="554">
                  <c:v>466.14389718881375</c:v>
                </c:pt>
                <c:pt idx="555">
                  <c:v>467.13709926882581</c:v>
                </c:pt>
                <c:pt idx="556">
                  <c:v>468.13033920373766</c:v>
                </c:pt>
                <c:pt idx="557">
                  <c:v>469.12361673971236</c:v>
                </c:pt>
                <c:pt idx="558">
                  <c:v>470.1169316249173</c:v>
                </c:pt>
                <c:pt idx="559">
                  <c:v>471.11028360950576</c:v>
                </c:pt>
                <c:pt idx="560">
                  <c:v>472.10367244559939</c:v>
                </c:pt>
                <c:pt idx="561">
                  <c:v>473.09709788726951</c:v>
                </c:pt>
                <c:pt idx="562">
                  <c:v>474.09055969051985</c:v>
                </c:pt>
                <c:pt idx="563">
                  <c:v>475.08405761326912</c:v>
                </c:pt>
                <c:pt idx="564">
                  <c:v>476.07759141533302</c:v>
                </c:pt>
                <c:pt idx="565">
                  <c:v>477.07116085840767</c:v>
                </c:pt>
                <c:pt idx="566">
                  <c:v>478.06476570605241</c:v>
                </c:pt>
                <c:pt idx="567">
                  <c:v>479.05840572367276</c:v>
                </c:pt>
                <c:pt idx="568">
                  <c:v>480.05208067850401</c:v>
                </c:pt>
                <c:pt idx="569">
                  <c:v>481.04579033959487</c:v>
                </c:pt>
                <c:pt idx="570">
                  <c:v>482.03953447779054</c:v>
                </c:pt>
                <c:pt idx="571">
                  <c:v>483.03331286571716</c:v>
                </c:pt>
                <c:pt idx="572">
                  <c:v>484.02712527776538</c:v>
                </c:pt>
                <c:pt idx="573">
                  <c:v>485.02097149007511</c:v>
                </c:pt>
                <c:pt idx="574">
                  <c:v>486.01485128051911</c:v>
                </c:pt>
                <c:pt idx="575">
                  <c:v>487.0087644286881</c:v>
                </c:pt>
                <c:pt idx="576">
                  <c:v>488.00271071587491</c:v>
                </c:pt>
                <c:pt idx="577">
                  <c:v>488.99668992506008</c:v>
                </c:pt>
                <c:pt idx="578">
                  <c:v>489.99070184089561</c:v>
                </c:pt>
                <c:pt idx="579">
                  <c:v>490.98474624969123</c:v>
                </c:pt>
                <c:pt idx="580">
                  <c:v>491.97882293939909</c:v>
                </c:pt>
                <c:pt idx="581">
                  <c:v>492.97293169959914</c:v>
                </c:pt>
                <c:pt idx="582">
                  <c:v>493.96707232148515</c:v>
                </c:pt>
                <c:pt idx="583">
                  <c:v>494.96124459784954</c:v>
                </c:pt>
                <c:pt idx="584">
                  <c:v>495.95544832307053</c:v>
                </c:pt>
                <c:pt idx="585">
                  <c:v>496.94968329309665</c:v>
                </c:pt>
                <c:pt idx="586">
                  <c:v>497.9439493054341</c:v>
                </c:pt>
                <c:pt idx="587">
                  <c:v>498.93824615913246</c:v>
                </c:pt>
                <c:pt idx="588">
                  <c:v>499.9325736547712</c:v>
                </c:pt>
                <c:pt idx="589">
                  <c:v>500.92693159444588</c:v>
                </c:pt>
                <c:pt idx="590">
                  <c:v>501.92131978175576</c:v>
                </c:pt>
                <c:pt idx="591">
                  <c:v>502.91573802178937</c:v>
                </c:pt>
                <c:pt idx="592">
                  <c:v>503.91018612111259</c:v>
                </c:pt>
                <c:pt idx="593">
                  <c:v>504.90466388775519</c:v>
                </c:pt>
                <c:pt idx="594">
                  <c:v>505.89917113119782</c:v>
                </c:pt>
                <c:pt idx="595">
                  <c:v>506.89370766235987</c:v>
                </c:pt>
                <c:pt idx="596">
                  <c:v>507.88827329358651</c:v>
                </c:pt>
                <c:pt idx="597">
                  <c:v>508.88286783863674</c:v>
                </c:pt>
                <c:pt idx="598">
                  <c:v>509.87749111267016</c:v>
                </c:pt>
                <c:pt idx="599">
                  <c:v>510.87214293223627</c:v>
                </c:pt>
                <c:pt idx="600">
                  <c:v>511.86682311526079</c:v>
                </c:pt>
                <c:pt idx="601">
                  <c:v>512.86153148103494</c:v>
                </c:pt>
                <c:pt idx="602">
                  <c:v>513.85626785020349</c:v>
                </c:pt>
                <c:pt idx="603">
                  <c:v>514.85103204475195</c:v>
                </c:pt>
                <c:pt idx="604">
                  <c:v>515.8458238879964</c:v>
                </c:pt>
                <c:pt idx="605">
                  <c:v>516.84064320457151</c:v>
                </c:pt>
                <c:pt idx="606">
                  <c:v>517.8354898204185</c:v>
                </c:pt>
                <c:pt idx="607">
                  <c:v>518.83036356277535</c:v>
                </c:pt>
                <c:pt idx="608">
                  <c:v>519.82526426016375</c:v>
                </c:pt>
                <c:pt idx="609">
                  <c:v>520.82019174238019</c:v>
                </c:pt>
                <c:pt idx="610">
                  <c:v>521.8151458404833</c:v>
                </c:pt>
                <c:pt idx="611">
                  <c:v>522.81012638678408</c:v>
                </c:pt>
                <c:pt idx="612">
                  <c:v>523.80513321483443</c:v>
                </c:pt>
                <c:pt idx="613">
                  <c:v>524.80016615941724</c:v>
                </c:pt>
                <c:pt idx="614">
                  <c:v>525.79522505653551</c:v>
                </c:pt>
                <c:pt idx="615">
                  <c:v>526.79030974340219</c:v>
                </c:pt>
                <c:pt idx="616">
                  <c:v>527.78542005842939</c:v>
                </c:pt>
                <c:pt idx="617">
                  <c:v>528.78055584121887</c:v>
                </c:pt>
                <c:pt idx="618">
                  <c:v>529.77571693255118</c:v>
                </c:pt>
                <c:pt idx="619">
                  <c:v>530.7709031743766</c:v>
                </c:pt>
                <c:pt idx="620">
                  <c:v>531.76611440980423</c:v>
                </c:pt>
                <c:pt idx="621">
                  <c:v>532.76135048309266</c:v>
                </c:pt>
                <c:pt idx="622">
                  <c:v>533.75661123964073</c:v>
                </c:pt>
                <c:pt idx="623">
                  <c:v>534.7518965259768</c:v>
                </c:pt>
                <c:pt idx="624">
                  <c:v>535.74720618975016</c:v>
                </c:pt>
                <c:pt idx="625">
                  <c:v>536.74254007972127</c:v>
                </c:pt>
                <c:pt idx="626">
                  <c:v>537.73789804575222</c:v>
                </c:pt>
                <c:pt idx="627">
                  <c:v>538.73327993879798</c:v>
                </c:pt>
                <c:pt idx="628">
                  <c:v>539.7286856108966</c:v>
                </c:pt>
                <c:pt idx="629">
                  <c:v>540.7241149151605</c:v>
                </c:pt>
                <c:pt idx="630">
                  <c:v>541.71956770576742</c:v>
                </c:pt>
                <c:pt idx="631">
                  <c:v>542.71504383795173</c:v>
                </c:pt>
                <c:pt idx="632">
                  <c:v>543.71054316799484</c:v>
                </c:pt>
                <c:pt idx="633">
                  <c:v>544.70606555321751</c:v>
                </c:pt>
                <c:pt idx="634">
                  <c:v>545.70161085197026</c:v>
                </c:pt>
                <c:pt idx="635">
                  <c:v>546.69717892362564</c:v>
                </c:pt>
                <c:pt idx="636">
                  <c:v>547.69276962856884</c:v>
                </c:pt>
                <c:pt idx="637">
                  <c:v>548.68838282819002</c:v>
                </c:pt>
                <c:pt idx="638">
                  <c:v>549.68401838487546</c:v>
                </c:pt>
                <c:pt idx="639">
                  <c:v>550.67967616199974</c:v>
                </c:pt>
                <c:pt idx="640">
                  <c:v>551.67535602391706</c:v>
                </c:pt>
                <c:pt idx="641">
                  <c:v>552.67105783595377</c:v>
                </c:pt>
                <c:pt idx="642">
                  <c:v>553.66678146439961</c:v>
                </c:pt>
                <c:pt idx="643">
                  <c:v>554.6625267765005</c:v>
                </c:pt>
                <c:pt idx="644">
                  <c:v>555.65829364044998</c:v>
                </c:pt>
                <c:pt idx="645">
                  <c:v>556.65408192538189</c:v>
                </c:pt>
                <c:pt idx="646">
                  <c:v>557.64989150136228</c:v>
                </c:pt>
                <c:pt idx="647">
                  <c:v>558.64572223938228</c:v>
                </c:pt>
                <c:pt idx="648">
                  <c:v>559.64157401135003</c:v>
                </c:pt>
                <c:pt idx="649">
                  <c:v>560.63744669008304</c:v>
                </c:pt>
                <c:pt idx="650">
                  <c:v>561.63334014930138</c:v>
                </c:pt>
                <c:pt idx="651">
                  <c:v>562.62925426361971</c:v>
                </c:pt>
                <c:pt idx="652">
                  <c:v>563.62518890854028</c:v>
                </c:pt>
                <c:pt idx="653">
                  <c:v>564.62114396044581</c:v>
                </c:pt>
                <c:pt idx="654">
                  <c:v>565.61711929659168</c:v>
                </c:pt>
                <c:pt idx="655">
                  <c:v>566.61311479509936</c:v>
                </c:pt>
                <c:pt idx="656">
                  <c:v>567.60913033494978</c:v>
                </c:pt>
                <c:pt idx="657">
                  <c:v>568.60516579597515</c:v>
                </c:pt>
                <c:pt idx="658">
                  <c:v>569.60122105885307</c:v>
                </c:pt>
                <c:pt idx="659">
                  <c:v>570.59729600509922</c:v>
                </c:pt>
                <c:pt idx="660">
                  <c:v>571.59339051706093</c:v>
                </c:pt>
                <c:pt idx="661">
                  <c:v>572.58950447790983</c:v>
                </c:pt>
                <c:pt idx="662">
                  <c:v>573.5856377716359</c:v>
                </c:pt>
                <c:pt idx="663">
                  <c:v>574.58179028304073</c:v>
                </c:pt>
                <c:pt idx="664">
                  <c:v>575.57796189773035</c:v>
                </c:pt>
                <c:pt idx="665">
                  <c:v>576.5741525021092</c:v>
                </c:pt>
                <c:pt idx="666">
                  <c:v>577.57036198337426</c:v>
                </c:pt>
                <c:pt idx="667">
                  <c:v>578.5665902295076</c:v>
                </c:pt>
                <c:pt idx="668">
                  <c:v>579.56283712927086</c:v>
                </c:pt>
                <c:pt idx="669">
                  <c:v>580.55910257219887</c:v>
                </c:pt>
                <c:pt idx="670">
                  <c:v>581.55538644859291</c:v>
                </c:pt>
                <c:pt idx="671">
                  <c:v>582.55168864951565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0-4E3A-BF70-58731F2D5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963264"/>
        <c:axId val="1965186240"/>
      </c:lineChart>
      <c:catAx>
        <c:axId val="208396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86240"/>
        <c:crosses val="autoZero"/>
        <c:auto val="1"/>
        <c:lblAlgn val="ctr"/>
        <c:lblOffset val="100"/>
        <c:noMultiLvlLbl val="0"/>
      </c:catAx>
      <c:valAx>
        <c:axId val="19651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396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Feuil1!$M$2</c:f>
              <c:strCache>
                <c:ptCount val="1"/>
                <c:pt idx="0">
                  <c:v>PNL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Feuil1!$M$3:$M$674</c:f>
              <c:numCache>
                <c:formatCode>General</c:formatCode>
                <c:ptCount val="672"/>
                <c:pt idx="0">
                  <c:v>-2349.9999995934782</c:v>
                </c:pt>
                <c:pt idx="1">
                  <c:v>-2324.999972786627</c:v>
                </c:pt>
                <c:pt idx="2">
                  <c:v>-2299.9997531793665</c:v>
                </c:pt>
                <c:pt idx="3">
                  <c:v>-2274.9989451762308</c:v>
                </c:pt>
                <c:pt idx="4">
                  <c:v>-2249.9969448772467</c:v>
                </c:pt>
                <c:pt idx="5">
                  <c:v>-2224.9930048234651</c:v>
                </c:pt>
                <c:pt idx="6">
                  <c:v>-2199.9862984141032</c:v>
                </c:pt>
                <c:pt idx="7">
                  <c:v>-2174.9759709808068</c:v>
                </c:pt>
                <c:pt idx="8">
                  <c:v>-2149.9611764680608</c:v>
                </c:pt>
                <c:pt idx="9">
                  <c:v>-2124.9411021183732</c:v>
                </c:pt>
                <c:pt idx="10">
                  <c:v>-2099.9149840595974</c:v>
                </c:pt>
                <c:pt idx="11">
                  <c:v>-2074.8821163076882</c:v>
                </c:pt>
                <c:pt idx="12">
                  <c:v>-2049.8418551427503</c:v>
                </c:pt>
                <c:pt idx="13">
                  <c:v>-2024.7936203118231</c:v>
                </c:pt>
                <c:pt idx="14">
                  <c:v>-1999.7368941104035</c:v>
                </c:pt>
                <c:pt idx="15">
                  <c:v>-1974.6712190925202</c:v>
                </c:pt>
                <c:pt idx="16">
                  <c:v>-1949.5961949378059</c:v>
                </c:pt>
                <c:pt idx="17">
                  <c:v>-1924.5114748442147</c:v>
                </c:pt>
                <c:pt idx="18">
                  <c:v>-1899.4167617006083</c:v>
                </c:pt>
                <c:pt idx="19">
                  <c:v>-1874.3118042119177</c:v>
                </c:pt>
                <c:pt idx="20">
                  <c:v>-1849.1963930917793</c:v>
                </c:pt>
                <c:pt idx="21">
                  <c:v>-1824.0703573966857</c:v>
                </c:pt>
                <c:pt idx="22">
                  <c:v>-1798.9335610469784</c:v>
                </c:pt>
                <c:pt idx="23">
                  <c:v>-1773.7858995599602</c:v>
                </c:pt>
                <c:pt idx="24">
                  <c:v>-1748.627297006555</c:v>
                </c:pt>
                <c:pt idx="25">
                  <c:v>-1723.4577031934855</c:v>
                </c:pt>
                <c:pt idx="26">
                  <c:v>-1698.2770910666486</c:v>
                </c:pt>
                <c:pt idx="27">
                  <c:v>-1673.0854543272917</c:v>
                </c:pt>
                <c:pt idx="28">
                  <c:v>-1647.882805250101</c:v>
                </c:pt>
                <c:pt idx="29">
                  <c:v>-1622.6691726909244</c:v>
                </c:pt>
                <c:pt idx="30">
                  <c:v>-1597.4446002712345</c:v>
                </c:pt>
                <c:pt idx="31">
                  <c:v>-1572.2091447263463</c:v>
                </c:pt>
                <c:pt idx="32">
                  <c:v>-1546.9628744046613</c:v>
                </c:pt>
                <c:pt idx="33">
                  <c:v>-1521.7058679057093</c:v>
                </c:pt>
                <c:pt idx="34">
                  <c:v>-1496.4382128453792</c:v>
                </c:pt>
                <c:pt idx="35">
                  <c:v>-1471.1600047374488</c:v>
                </c:pt>
                <c:pt idx="36">
                  <c:v>-1445.8713459812616</c:v>
                </c:pt>
                <c:pt idx="37">
                  <c:v>-1420.572344946152</c:v>
                </c:pt>
                <c:pt idx="38">
                  <c:v>-1395.2631151439493</c:v>
                </c:pt>
                <c:pt idx="39">
                  <c:v>-1369.9437744815998</c:v>
                </c:pt>
                <c:pt idx="40">
                  <c:v>-1344.6144445866123</c:v>
                </c:pt>
                <c:pt idx="41">
                  <c:v>-1319.2752501986618</c:v>
                </c:pt>
                <c:pt idx="42">
                  <c:v>-1293.9263186212656</c:v>
                </c:pt>
                <c:pt idx="43">
                  <c:v>-1268.5677792279953</c:v>
                </c:pt>
                <c:pt idx="44">
                  <c:v>-1243.1997630181729</c:v>
                </c:pt>
                <c:pt idx="45">
                  <c:v>-1217.8224022174743</c:v>
                </c:pt>
                <c:pt idx="46">
                  <c:v>-1192.4358299192622</c:v>
                </c:pt>
                <c:pt idx="47">
                  <c:v>-1167.0401797628706</c:v>
                </c:pt>
                <c:pt idx="48">
                  <c:v>-1141.6355856453977</c:v>
                </c:pt>
                <c:pt idx="49">
                  <c:v>-1116.2221814638883</c:v>
                </c:pt>
                <c:pt idx="50">
                  <c:v>-1090.8001008850745</c:v>
                </c:pt>
                <c:pt idx="51">
                  <c:v>-1065.3694771401013</c:v>
                </c:pt>
                <c:pt idx="52">
                  <c:v>-1039.9304428419071</c:v>
                </c:pt>
                <c:pt idx="53">
                  <c:v>-1014.4831298231367</c:v>
                </c:pt>
                <c:pt idx="54">
                  <c:v>-989.02766899267056</c:v>
                </c:pt>
                <c:pt idx="55">
                  <c:v>-963.56419020902069</c:v>
                </c:pt>
                <c:pt idx="56">
                  <c:v>-938.0928221690109</c:v>
                </c:pt>
                <c:pt idx="57">
                  <c:v>-912.61369231030358</c:v>
                </c:pt>
                <c:pt idx="58">
                  <c:v>-887.12692672646517</c:v>
                </c:pt>
                <c:pt idx="59">
                  <c:v>-861.6326500933842</c:v>
                </c:pt>
                <c:pt idx="60">
                  <c:v>-836.13098560596507</c:v>
                </c:pt>
                <c:pt idx="61">
                  <c:v>-810.6220549241159</c:v>
                </c:pt>
                <c:pt idx="62">
                  <c:v>-785.10597812714161</c:v>
                </c:pt>
                <c:pt idx="63">
                  <c:v>-759.58287367573371</c:v>
                </c:pt>
                <c:pt idx="64">
                  <c:v>-734.05285838081932</c:v>
                </c:pt>
                <c:pt idx="65">
                  <c:v>-708.51604737860225</c:v>
                </c:pt>
                <c:pt idx="66">
                  <c:v>-682.97255411118726</c:v>
                </c:pt>
                <c:pt idx="67">
                  <c:v>-657.42249031223525</c:v>
                </c:pt>
                <c:pt idx="68">
                  <c:v>-631.86596599714494</c:v>
                </c:pt>
                <c:pt idx="69">
                  <c:v>-606.30308945730508</c:v>
                </c:pt>
                <c:pt idx="70">
                  <c:v>-580.73396725800046</c:v>
                </c:pt>
                <c:pt idx="71">
                  <c:v>-555.15870423959223</c:v>
                </c:pt>
                <c:pt idx="72">
                  <c:v>-529.57740352163012</c:v>
                </c:pt>
                <c:pt idx="73">
                  <c:v>-503.9901665095814</c:v>
                </c:pt>
                <c:pt idx="74">
                  <c:v>-478.39709290389368</c:v>
                </c:pt>
                <c:pt idx="75">
                  <c:v>-452.79828071113002</c:v>
                </c:pt>
                <c:pt idx="76">
                  <c:v>-427.19382625694317</c:v>
                </c:pt>
                <c:pt idx="77">
                  <c:v>-401.58382420067335</c:v>
                </c:pt>
                <c:pt idx="78">
                  <c:v>-375.96836755137531</c:v>
                </c:pt>
                <c:pt idx="79">
                  <c:v>-350.3475476850976</c:v>
                </c:pt>
                <c:pt idx="80">
                  <c:v>-324.72145436325349</c:v>
                </c:pt>
                <c:pt idx="81">
                  <c:v>-299.09017575193747</c:v>
                </c:pt>
                <c:pt idx="82">
                  <c:v>-273.4537984420549</c:v>
                </c:pt>
                <c:pt idx="83">
                  <c:v>-247.81240747014471</c:v>
                </c:pt>
                <c:pt idx="84">
                  <c:v>-222.16608633978566</c:v>
                </c:pt>
                <c:pt idx="85">
                  <c:v>-196.51491704348837</c:v>
                </c:pt>
                <c:pt idx="86">
                  <c:v>-170.85898008498248</c:v>
                </c:pt>
                <c:pt idx="87">
                  <c:v>-145.19835450181901</c:v>
                </c:pt>
                <c:pt idx="88">
                  <c:v>-119.53311788821411</c:v>
                </c:pt>
                <c:pt idx="89">
                  <c:v>-93.863346418068616</c:v>
                </c:pt>
                <c:pt idx="90">
                  <c:v>-68.189114868103445</c:v>
                </c:pt>
                <c:pt idx="91">
                  <c:v>-42.510496641057195</c:v>
                </c:pt>
                <c:pt idx="92">
                  <c:v>-16.82756378889804</c:v>
                </c:pt>
                <c:pt idx="93">
                  <c:v>8.8596129639940244</c:v>
                </c:pt>
                <c:pt idx="94">
                  <c:v>34.550964197712965</c:v>
                </c:pt>
                <c:pt idx="95">
                  <c:v>60.246421773815797</c:v>
                </c:pt>
                <c:pt idx="96">
                  <c:v>85.945918812445314</c:v>
                </c:pt>
                <c:pt idx="97">
                  <c:v>111.649389669615</c:v>
                </c:pt>
                <c:pt idx="98">
                  <c:v>137.35676991467977</c:v>
                </c:pt>
                <c:pt idx="99">
                  <c:v>163.06799630801487</c:v>
                </c:pt>
                <c:pt idx="100">
                  <c:v>188.78300677892153</c:v>
                </c:pt>
                <c:pt idx="101">
                  <c:v>214.50174040377669</c:v>
                </c:pt>
                <c:pt idx="102">
                  <c:v>240.22413738444075</c:v>
                </c:pt>
                <c:pt idx="103">
                  <c:v>265.95013902693648</c:v>
                </c:pt>
                <c:pt idx="104">
                  <c:v>291.67968772040962</c:v>
                </c:pt>
                <c:pt idx="105">
                  <c:v>317.4127269163809</c:v>
                </c:pt>
                <c:pt idx="106">
                  <c:v>343.14920110829632</c:v>
                </c:pt>
                <c:pt idx="107">
                  <c:v>368.88905581138368</c:v>
                </c:pt>
                <c:pt idx="108">
                  <c:v>394.63223754281847</c:v>
                </c:pt>
                <c:pt idx="109">
                  <c:v>420.37869380220553</c:v>
                </c:pt>
                <c:pt idx="110">
                  <c:v>446.12837305237787</c:v>
                </c:pt>
                <c:pt idx="111">
                  <c:v>471.88122470051582</c:v>
                </c:pt>
                <c:pt idx="112">
                  <c:v>497.63719907958762</c:v>
                </c:pt>
                <c:pt idx="113">
                  <c:v>523.396247430112</c:v>
                </c:pt>
                <c:pt idx="114">
                  <c:v>549.15832188224351</c:v>
                </c:pt>
                <c:pt idx="115">
                  <c:v>574.92337543817871</c:v>
                </c:pt>
                <c:pt idx="116">
                  <c:v>600.69136195488352</c:v>
                </c:pt>
                <c:pt idx="117">
                  <c:v>626.46223612713959</c:v>
                </c:pt>
                <c:pt idx="118">
                  <c:v>652.23595347090713</c:v>
                </c:pt>
                <c:pt idx="119">
                  <c:v>678.01247030700301</c:v>
                </c:pt>
                <c:pt idx="120">
                  <c:v>703.79174374508989</c:v>
                </c:pt>
                <c:pt idx="121">
                  <c:v>729.57373166797515</c:v>
                </c:pt>
                <c:pt idx="122">
                  <c:v>755.35839271621501</c:v>
                </c:pt>
                <c:pt idx="123">
                  <c:v>781.14568627302026</c:v>
                </c:pt>
                <c:pt idx="124">
                  <c:v>806.93557244946123</c:v>
                </c:pt>
                <c:pt idx="125">
                  <c:v>832.72801206996644</c:v>
                </c:pt>
                <c:pt idx="126">
                  <c:v>858.52296665811241</c:v>
                </c:pt>
                <c:pt idx="127">
                  <c:v>884.32039842269887</c:v>
                </c:pt>
                <c:pt idx="128">
                  <c:v>910.12027024410691</c:v>
                </c:pt>
                <c:pt idx="129">
                  <c:v>935.92254566093391</c:v>
                </c:pt>
                <c:pt idx="130">
                  <c:v>961.72718885690233</c:v>
                </c:pt>
                <c:pt idx="131">
                  <c:v>987.53416464803672</c:v>
                </c:pt>
                <c:pt idx="132">
                  <c:v>1013.3434384701055</c:v>
                </c:pt>
                <c:pt idx="133">
                  <c:v>1039.1549763663218</c:v>
                </c:pt>
                <c:pt idx="134">
                  <c:v>1064.9687449752989</c:v>
                </c:pt>
                <c:pt idx="135">
                  <c:v>1090.7847115192583</c:v>
                </c:pt>
                <c:pt idx="136">
                  <c:v>1116.6028437924806</c:v>
                </c:pt>
                <c:pt idx="137">
                  <c:v>1142.4231101499997</c:v>
                </c:pt>
                <c:pt idx="138">
                  <c:v>1168.2454794965345</c:v>
                </c:pt>
                <c:pt idx="139">
                  <c:v>1194.0699212756488</c:v>
                </c:pt>
                <c:pt idx="140">
                  <c:v>1219.8964054591449</c:v>
                </c:pt>
                <c:pt idx="141">
                  <c:v>1245.7249025366748</c:v>
                </c:pt>
                <c:pt idx="142">
                  <c:v>1271.5553835055737</c:v>
                </c:pt>
                <c:pt idx="143">
                  <c:v>1297.3878198609066</c:v>
                </c:pt>
                <c:pt idx="144">
                  <c:v>1323.2221835857254</c:v>
                </c:pt>
                <c:pt idx="145">
                  <c:v>1349.0584471415311</c:v>
                </c:pt>
                <c:pt idx="146">
                  <c:v>1374.8965834589392</c:v>
                </c:pt>
                <c:pt idx="147">
                  <c:v>1400.7365659285404</c:v>
                </c:pt>
                <c:pt idx="148">
                  <c:v>1426.578368391956</c:v>
                </c:pt>
                <c:pt idx="149">
                  <c:v>1452.4219651330823</c:v>
                </c:pt>
                <c:pt idx="150">
                  <c:v>1478.2673308695198</c:v>
                </c:pt>
                <c:pt idx="151">
                  <c:v>1504.1144407441845</c:v>
                </c:pt>
                <c:pt idx="152">
                  <c:v>1529.9632703170962</c:v>
                </c:pt>
                <c:pt idx="153">
                  <c:v>1555.8137955573393</c:v>
                </c:pt>
                <c:pt idx="154">
                  <c:v>1581.6659928351967</c:v>
                </c:pt>
                <c:pt idx="155">
                  <c:v>1607.5198389144464</c:v>
                </c:pt>
                <c:pt idx="156">
                  <c:v>1633.375310944823</c:v>
                </c:pt>
                <c:pt idx="157">
                  <c:v>1659.2323864546374</c:v>
                </c:pt>
                <c:pt idx="158">
                  <c:v>1685.0910433435533</c:v>
                </c:pt>
                <c:pt idx="159">
                  <c:v>1710.9512598755134</c:v>
                </c:pt>
                <c:pt idx="160">
                  <c:v>1736.8130146718181</c:v>
                </c:pt>
                <c:pt idx="161">
                  <c:v>1762.6762867043474</c:v>
                </c:pt>
                <c:pt idx="162">
                  <c:v>1788.541055288925</c:v>
                </c:pt>
                <c:pt idx="163">
                  <c:v>1814.4073000788246</c:v>
                </c:pt>
                <c:pt idx="164">
                  <c:v>1840.2750010584084</c:v>
                </c:pt>
                <c:pt idx="165">
                  <c:v>1866.1441385369028</c:v>
                </c:pt>
                <c:pt idx="166">
                  <c:v>1892.0146931423012</c:v>
                </c:pt>
                <c:pt idx="167">
                  <c:v>1917.8866458153962</c:v>
                </c:pt>
                <c:pt idx="168">
                  <c:v>1943.7599778039362</c:v>
                </c:pt>
                <c:pt idx="169">
                  <c:v>1969.6346706569027</c:v>
                </c:pt>
                <c:pt idx="170">
                  <c:v>1995.5107062189079</c:v>
                </c:pt>
                <c:pt idx="171">
                  <c:v>2021.3880666247078</c:v>
                </c:pt>
                <c:pt idx="172">
                  <c:v>2047.2667342938305</c:v>
                </c:pt>
                <c:pt idx="173">
                  <c:v>2073.1466919253148</c:v>
                </c:pt>
                <c:pt idx="174">
                  <c:v>2099.0279224925584</c:v>
                </c:pt>
                <c:pt idx="175">
                  <c:v>2124.9104092382704</c:v>
                </c:pt>
                <c:pt idx="176">
                  <c:v>2150.7941356695319</c:v>
                </c:pt>
                <c:pt idx="177">
                  <c:v>2176.6790855529557</c:v>
                </c:pt>
                <c:pt idx="178">
                  <c:v>2202.5652429099446</c:v>
                </c:pt>
                <c:pt idx="179">
                  <c:v>2228.45259201205</c:v>
                </c:pt>
                <c:pt idx="180">
                  <c:v>2254.341117376423</c:v>
                </c:pt>
                <c:pt idx="181">
                  <c:v>2280.2308037613598</c:v>
                </c:pt>
                <c:pt idx="182">
                  <c:v>2306.1216361619395</c:v>
                </c:pt>
                <c:pt idx="183">
                  <c:v>2332.0135998057458</c:v>
                </c:pt>
                <c:pt idx="184">
                  <c:v>2357.9066801486829</c:v>
                </c:pt>
                <c:pt idx="185">
                  <c:v>2383.8008628708694</c:v>
                </c:pt>
                <c:pt idx="186">
                  <c:v>2409.6961338726214</c:v>
                </c:pt>
                <c:pt idx="187">
                  <c:v>2435.5924792705127</c:v>
                </c:pt>
                <c:pt idx="188">
                  <c:v>2461.4898853935165</c:v>
                </c:pt>
                <c:pt idx="189">
                  <c:v>2487.388338779223</c:v>
                </c:pt>
                <c:pt idx="190">
                  <c:v>2513.287826170138</c:v>
                </c:pt>
                <c:pt idx="191">
                  <c:v>2539.1883345100487</c:v>
                </c:pt>
                <c:pt idx="192">
                  <c:v>2565.0898509404678</c:v>
                </c:pt>
                <c:pt idx="193">
                  <c:v>2590.9923627971466</c:v>
                </c:pt>
                <c:pt idx="194">
                  <c:v>2616.8958576066589</c:v>
                </c:pt>
                <c:pt idx="195">
                  <c:v>2642.80032308305</c:v>
                </c:pt>
                <c:pt idx="196">
                  <c:v>2668.7057471245562</c:v>
                </c:pt>
                <c:pt idx="197">
                  <c:v>2694.6121178103872</c:v>
                </c:pt>
                <c:pt idx="198">
                  <c:v>2720.5194233975722</c:v>
                </c:pt>
                <c:pt idx="199">
                  <c:v>2746.4276523178696</c:v>
                </c:pt>
                <c:pt idx="200">
                  <c:v>2772.3367931747352</c:v>
                </c:pt>
                <c:pt idx="201">
                  <c:v>2798.2468347403537</c:v>
                </c:pt>
                <c:pt idx="202">
                  <c:v>2824.1577659527252</c:v>
                </c:pt>
                <c:pt idx="203">
                  <c:v>2850.0695759128089</c:v>
                </c:pt>
                <c:pt idx="204">
                  <c:v>2875.9822538817261</c:v>
                </c:pt>
                <c:pt idx="205">
                  <c:v>2901.8957892780154</c:v>
                </c:pt>
                <c:pt idx="206">
                  <c:v>2927.8101716749384</c:v>
                </c:pt>
                <c:pt idx="207">
                  <c:v>2953.7253907978447</c:v>
                </c:pt>
                <c:pt idx="208">
                  <c:v>2979.6414365215805</c:v>
                </c:pt>
                <c:pt idx="209">
                  <c:v>3005.5582988679544</c:v>
                </c:pt>
                <c:pt idx="210">
                  <c:v>3031.4759680032457</c:v>
                </c:pt>
                <c:pt idx="211">
                  <c:v>3057.3944342357649</c:v>
                </c:pt>
                <c:pt idx="212">
                  <c:v>3083.3136880134603</c:v>
                </c:pt>
                <c:pt idx="213">
                  <c:v>3109.2337199215685</c:v>
                </c:pt>
                <c:pt idx="214">
                  <c:v>3135.1545206803139</c:v>
                </c:pt>
                <c:pt idx="215">
                  <c:v>3161.0760811426471</c:v>
                </c:pt>
                <c:pt idx="216">
                  <c:v>3186.9983922920305</c:v>
                </c:pt>
                <c:pt idx="217">
                  <c:v>3212.9214452402639</c:v>
                </c:pt>
                <c:pt idx="218">
                  <c:v>3238.8452312253526</c:v>
                </c:pt>
                <c:pt idx="219">
                  <c:v>3264.7697416094138</c:v>
                </c:pt>
                <c:pt idx="220">
                  <c:v>3290.6949678766259</c:v>
                </c:pt>
                <c:pt idx="221">
                  <c:v>3316.6209016312137</c:v>
                </c:pt>
                <c:pt idx="222">
                  <c:v>3342.547534595471</c:v>
                </c:pt>
                <c:pt idx="223">
                  <c:v>3368.474858607824</c:v>
                </c:pt>
                <c:pt idx="224">
                  <c:v>3394.4028656209271</c:v>
                </c:pt>
                <c:pt idx="225">
                  <c:v>3420.3315476997964</c:v>
                </c:pt>
                <c:pt idx="226">
                  <c:v>3446.2608970199767</c:v>
                </c:pt>
                <c:pt idx="227">
                  <c:v>3472.1909058657443</c:v>
                </c:pt>
                <c:pt idx="228">
                  <c:v>3498.1215666283415</c:v>
                </c:pt>
                <c:pt idx="229">
                  <c:v>3524.0528718042447</c:v>
                </c:pt>
                <c:pt idx="230">
                  <c:v>3549.9848139934643</c:v>
                </c:pt>
                <c:pt idx="231">
                  <c:v>3575.9173858978761</c:v>
                </c:pt>
                <c:pt idx="232">
                  <c:v>3601.8505803195826</c:v>
                </c:pt>
                <c:pt idx="233">
                  <c:v>3627.784390159306</c:v>
                </c:pt>
                <c:pt idx="234">
                  <c:v>3653.7188084148092</c:v>
                </c:pt>
                <c:pt idx="235">
                  <c:v>3679.653828179346</c:v>
                </c:pt>
                <c:pt idx="236">
                  <c:v>3705.5894426401392</c:v>
                </c:pt>
                <c:pt idx="237">
                  <c:v>3731.5256450768888</c:v>
                </c:pt>
                <c:pt idx="238">
                  <c:v>3757.4624288603036</c:v>
                </c:pt>
                <c:pt idx="239">
                  <c:v>3783.3997874506613</c:v>
                </c:pt>
                <c:pt idx="240">
                  <c:v>3809.3377143963962</c:v>
                </c:pt>
                <c:pt idx="241">
                  <c:v>3835.2762033327081</c:v>
                </c:pt>
                <c:pt idx="242">
                  <c:v>3861.2152479802021</c:v>
                </c:pt>
                <c:pt idx="243">
                  <c:v>3887.1548421435459</c:v>
                </c:pt>
                <c:pt idx="244">
                  <c:v>3913.094979710158</c:v>
                </c:pt>
                <c:pt idx="245">
                  <c:v>3939.0356546489152</c:v>
                </c:pt>
                <c:pt idx="246">
                  <c:v>3964.9768610088827</c:v>
                </c:pt>
                <c:pt idx="247">
                  <c:v>3990.9185929180712</c:v>
                </c:pt>
                <c:pt idx="248">
                  <c:v>4016.8608445822101</c:v>
                </c:pt>
                <c:pt idx="249">
                  <c:v>4042.8036102835476</c:v>
                </c:pt>
                <c:pt idx="250">
                  <c:v>4068.7468843796692</c:v>
                </c:pt>
                <c:pt idx="251">
                  <c:v>4094.6906613023375</c:v>
                </c:pt>
                <c:pt idx="252">
                  <c:v>4120.6349355563543</c:v>
                </c:pt>
                <c:pt idx="253">
                  <c:v>4146.5797017184386</c:v>
                </c:pt>
                <c:pt idx="254">
                  <c:v>4172.5249544361277</c:v>
                </c:pt>
                <c:pt idx="255">
                  <c:v>4198.4706884266989</c:v>
                </c:pt>
                <c:pt idx="256">
                  <c:v>4224.4168984761036</c:v>
                </c:pt>
                <c:pt idx="257">
                  <c:v>4250.3635794379279</c:v>
                </c:pt>
                <c:pt idx="258">
                  <c:v>4276.3107262323656</c:v>
                </c:pt>
                <c:pt idx="259">
                  <c:v>4302.2583338452105</c:v>
                </c:pt>
                <c:pt idx="260">
                  <c:v>4328.2063973268669</c:v>
                </c:pt>
                <c:pt idx="261">
                  <c:v>4354.1549117913792</c:v>
                </c:pt>
                <c:pt idx="262">
                  <c:v>4380.1038724154705</c:v>
                </c:pt>
                <c:pt idx="263">
                  <c:v>4406.0532744376087</c:v>
                </c:pt>
                <c:pt idx="264">
                  <c:v>4432.0031131570795</c:v>
                </c:pt>
                <c:pt idx="265">
                  <c:v>4457.9533839330797</c:v>
                </c:pt>
                <c:pt idx="266">
                  <c:v>4483.9040821838253</c:v>
                </c:pt>
                <c:pt idx="267">
                  <c:v>4509.855203385674</c:v>
                </c:pt>
                <c:pt idx="268">
                  <c:v>4535.806743072264</c:v>
                </c:pt>
                <c:pt idx="269">
                  <c:v>4561.7586968336645</c:v>
                </c:pt>
                <c:pt idx="270">
                  <c:v>4587.711060315547</c:v>
                </c:pt>
                <c:pt idx="271">
                  <c:v>4613.6638292183616</c:v>
                </c:pt>
                <c:pt idx="272">
                  <c:v>4639.6169992965324</c:v>
                </c:pt>
                <c:pt idx="273">
                  <c:v>4665.57056635767</c:v>
                </c:pt>
                <c:pt idx="274">
                  <c:v>4691.5245262617882</c:v>
                </c:pt>
                <c:pt idx="275">
                  <c:v>4717.4788749205409</c:v>
                </c:pt>
                <c:pt idx="276">
                  <c:v>4743.4336082964719</c:v>
                </c:pt>
                <c:pt idx="277">
                  <c:v>4769.3887224022701</c:v>
                </c:pt>
                <c:pt idx="278">
                  <c:v>4795.3442133000453</c:v>
                </c:pt>
                <c:pt idx="279">
                  <c:v>4821.3000771006109</c:v>
                </c:pt>
                <c:pt idx="280">
                  <c:v>4847.2563099627832</c:v>
                </c:pt>
                <c:pt idx="281">
                  <c:v>4873.2129080926843</c:v>
                </c:pt>
                <c:pt idx="282">
                  <c:v>4899.1698677430668</c:v>
                </c:pt>
                <c:pt idx="283">
                  <c:v>4925.1271852126411</c:v>
                </c:pt>
                <c:pt idx="284">
                  <c:v>4951.0848568454176</c:v>
                </c:pt>
                <c:pt idx="285">
                  <c:v>4977.0428790300612</c:v>
                </c:pt>
                <c:pt idx="286">
                  <c:v>5003.0012481992489</c:v>
                </c:pt>
                <c:pt idx="287">
                  <c:v>5028.9599608290519</c:v>
                </c:pt>
                <c:pt idx="288">
                  <c:v>5054.9190134383098</c:v>
                </c:pt>
                <c:pt idx="289">
                  <c:v>5080.8784025880304</c:v>
                </c:pt>
                <c:pt idx="290">
                  <c:v>5106.8381248807927</c:v>
                </c:pt>
                <c:pt idx="291">
                  <c:v>5132.7981769601574</c:v>
                </c:pt>
                <c:pt idx="292">
                  <c:v>5158.7585555100923</c:v>
                </c:pt>
                <c:pt idx="293">
                  <c:v>5184.7192572544</c:v>
                </c:pt>
                <c:pt idx="294">
                  <c:v>5210.6802789561661</c:v>
                </c:pt>
                <c:pt idx="295">
                  <c:v>5236.6416174172027</c:v>
                </c:pt>
                <c:pt idx="296">
                  <c:v>5262.6032694775104</c:v>
                </c:pt>
                <c:pt idx="297">
                  <c:v>5288.5652320147447</c:v>
                </c:pt>
                <c:pt idx="298">
                  <c:v>5314.527501943694</c:v>
                </c:pt>
                <c:pt idx="299">
                  <c:v>5340.4900762157631</c:v>
                </c:pt>
                <c:pt idx="300">
                  <c:v>5366.4529518184627</c:v>
                </c:pt>
                <c:pt idx="301">
                  <c:v>5392.4161257749147</c:v>
                </c:pt>
                <c:pt idx="302">
                  <c:v>5418.3795951433603</c:v>
                </c:pt>
                <c:pt idx="303">
                  <c:v>5444.3433570166717</c:v>
                </c:pt>
                <c:pt idx="304">
                  <c:v>5470.3074085218814</c:v>
                </c:pt>
                <c:pt idx="305">
                  <c:v>5496.2717468197125</c:v>
                </c:pt>
                <c:pt idx="306">
                  <c:v>5522.2363691041137</c:v>
                </c:pt>
                <c:pt idx="307">
                  <c:v>5548.2012726018111</c:v>
                </c:pt>
                <c:pt idx="308">
                  <c:v>5574.1664545718577</c:v>
                </c:pt>
                <c:pt idx="309">
                  <c:v>5600.1319123051935</c:v>
                </c:pt>
                <c:pt idx="310">
                  <c:v>5626.0976431242143</c:v>
                </c:pt>
                <c:pt idx="311">
                  <c:v>5652.0636443823441</c:v>
                </c:pt>
                <c:pt idx="312">
                  <c:v>5678.029913463617</c:v>
                </c:pt>
                <c:pt idx="313">
                  <c:v>5703.9964477822632</c:v>
                </c:pt>
                <c:pt idx="314">
                  <c:v>5729.9632447822987</c:v>
                </c:pt>
                <c:pt idx="315">
                  <c:v>5755.9303019371309</c:v>
                </c:pt>
                <c:pt idx="316">
                  <c:v>5781.8976167491628</c:v>
                </c:pt>
                <c:pt idx="317">
                  <c:v>5807.8651867494</c:v>
                </c:pt>
                <c:pt idx="318">
                  <c:v>5833.8330094970743</c:v>
                </c:pt>
                <c:pt idx="319">
                  <c:v>5859.8010825792635</c:v>
                </c:pt>
                <c:pt idx="320">
                  <c:v>5885.7694036105222</c:v>
                </c:pt>
                <c:pt idx="321">
                  <c:v>5911.7379702325179</c:v>
                </c:pt>
                <c:pt idx="322">
                  <c:v>5937.7067801136682</c:v>
                </c:pt>
                <c:pt idx="323">
                  <c:v>5963.6758309487896</c:v>
                </c:pt>
                <c:pt idx="324">
                  <c:v>5989.6451204587474</c:v>
                </c:pt>
                <c:pt idx="325">
                  <c:v>6015.6146463901132</c:v>
                </c:pt>
                <c:pt idx="326">
                  <c:v>6041.5844065148267</c:v>
                </c:pt>
                <c:pt idx="327">
                  <c:v>6067.5543986298626</c:v>
                </c:pt>
                <c:pt idx="328">
                  <c:v>6093.5246205568992</c:v>
                </c:pt>
                <c:pt idx="329">
                  <c:v>6119.4950701420021</c:v>
                </c:pt>
                <c:pt idx="330">
                  <c:v>6145.4657452552992</c:v>
                </c:pt>
                <c:pt idx="331">
                  <c:v>6171.4366437906692</c:v>
                </c:pt>
                <c:pt idx="332">
                  <c:v>6197.4077636654365</c:v>
                </c:pt>
                <c:pt idx="333">
                  <c:v>6223.3791028200612</c:v>
                </c:pt>
                <c:pt idx="334">
                  <c:v>6249.350659217841</c:v>
                </c:pt>
                <c:pt idx="335">
                  <c:v>6275.3224308446197</c:v>
                </c:pt>
                <c:pt idx="336">
                  <c:v>6301.2944157084903</c:v>
                </c:pt>
                <c:pt idx="337">
                  <c:v>6327.2666118395118</c:v>
                </c:pt>
                <c:pt idx="338">
                  <c:v>6353.2390172894284</c:v>
                </c:pt>
                <c:pt idx="339">
                  <c:v>6379.2116301313854</c:v>
                </c:pt>
                <c:pt idx="340">
                  <c:v>6405.1844484596622</c:v>
                </c:pt>
                <c:pt idx="341">
                  <c:v>6431.1574703893966</c:v>
                </c:pt>
                <c:pt idx="342">
                  <c:v>6457.1306940563209</c:v>
                </c:pt>
                <c:pt idx="343">
                  <c:v>6483.1041176164981</c:v>
                </c:pt>
                <c:pt idx="344">
                  <c:v>6509.0777392460677</c:v>
                </c:pt>
                <c:pt idx="345">
                  <c:v>6535.0515571409851</c:v>
                </c:pt>
                <c:pt idx="346">
                  <c:v>6561.0255695167734</c:v>
                </c:pt>
                <c:pt idx="347">
                  <c:v>6586.9997746082772</c:v>
                </c:pt>
                <c:pt idx="348">
                  <c:v>6612.9741706694176</c:v>
                </c:pt>
                <c:pt idx="349">
                  <c:v>6638.9487559729505</c:v>
                </c:pt>
                <c:pt idx="350">
                  <c:v>6664.9235288102309</c:v>
                </c:pt>
                <c:pt idx="351">
                  <c:v>6690.8984874909829</c:v>
                </c:pt>
                <c:pt idx="352">
                  <c:v>6716.8736303430614</c:v>
                </c:pt>
                <c:pt idx="353">
                  <c:v>6742.8489557122357</c:v>
                </c:pt>
                <c:pt idx="354">
                  <c:v>6768.8244619619563</c:v>
                </c:pt>
                <c:pt idx="355">
                  <c:v>6794.8001474731409</c:v>
                </c:pt>
                <c:pt idx="356">
                  <c:v>6820.7760106439555</c:v>
                </c:pt>
                <c:pt idx="357">
                  <c:v>6846.7520498896001</c:v>
                </c:pt>
                <c:pt idx="358">
                  <c:v>6872.728263642096</c:v>
                </c:pt>
                <c:pt idx="359">
                  <c:v>6898.7046503500806</c:v>
                </c:pt>
                <c:pt idx="360">
                  <c:v>6924.6812084786025</c:v>
                </c:pt>
                <c:pt idx="361">
                  <c:v>6950.6579365089146</c:v>
                </c:pt>
                <c:pt idx="362">
                  <c:v>6976.6348329382809</c:v>
                </c:pt>
                <c:pt idx="363">
                  <c:v>7002.6118962797755</c:v>
                </c:pt>
                <c:pt idx="364">
                  <c:v>7028.5891250620916</c:v>
                </c:pt>
                <c:pt idx="365">
                  <c:v>7054.5665178293466</c:v>
                </c:pt>
                <c:pt idx="366">
                  <c:v>7080.5440731408999</c:v>
                </c:pt>
                <c:pt idx="367">
                  <c:v>7106.5217895711612</c:v>
                </c:pt>
                <c:pt idx="368">
                  <c:v>7132.4996657094098</c:v>
                </c:pt>
                <c:pt idx="369">
                  <c:v>7158.477700159614</c:v>
                </c:pt>
                <c:pt idx="370">
                  <c:v>7184.455891540254</c:v>
                </c:pt>
                <c:pt idx="371">
                  <c:v>7210.4342384841439</c:v>
                </c:pt>
                <c:pt idx="372">
                  <c:v>7236.4127396382592</c:v>
                </c:pt>
                <c:pt idx="373">
                  <c:v>7262.3913936635672</c:v>
                </c:pt>
                <c:pt idx="374">
                  <c:v>7288.3701992348588</c:v>
                </c:pt>
                <c:pt idx="375">
                  <c:v>7314.3491550405806</c:v>
                </c:pt>
                <c:pt idx="376">
                  <c:v>7340.328259782671</c:v>
                </c:pt>
                <c:pt idx="377">
                  <c:v>7366.3075121763995</c:v>
                </c:pt>
                <c:pt idx="378">
                  <c:v>7392.2869109502089</c:v>
                </c:pt>
                <c:pt idx="379">
                  <c:v>7418.2664548455559</c:v>
                </c:pt>
                <c:pt idx="380">
                  <c:v>7444.2461426167547</c:v>
                </c:pt>
                <c:pt idx="381">
                  <c:v>7470.2259730308288</c:v>
                </c:pt>
                <c:pt idx="382">
                  <c:v>7496.2059448673544</c:v>
                </c:pt>
                <c:pt idx="383">
                  <c:v>7522.1860569183173</c:v>
                </c:pt>
                <c:pt idx="384">
                  <c:v>7548.1663079879618</c:v>
                </c:pt>
                <c:pt idx="385">
                  <c:v>7574.146696892647</c:v>
                </c:pt>
                <c:pt idx="386">
                  <c:v>7600.1272224607055</c:v>
                </c:pt>
                <c:pt idx="387">
                  <c:v>7626.1078835322996</c:v>
                </c:pt>
                <c:pt idx="388">
                  <c:v>7652.088678959286</c:v>
                </c:pt>
                <c:pt idx="389">
                  <c:v>7678.0696076050754</c:v>
                </c:pt>
                <c:pt idx="390">
                  <c:v>7704.0506683444983</c:v>
                </c:pt>
                <c:pt idx="391">
                  <c:v>7730.0318600636729</c:v>
                </c:pt>
                <c:pt idx="392">
                  <c:v>7756.0131816598696</c:v>
                </c:pt>
                <c:pt idx="393">
                  <c:v>7781.9946320413865</c:v>
                </c:pt>
                <c:pt idx="394">
                  <c:v>7807.9762101274155</c:v>
                </c:pt>
                <c:pt idx="395">
                  <c:v>7833.9579148479197</c:v>
                </c:pt>
                <c:pt idx="396">
                  <c:v>7859.9397451435079</c:v>
                </c:pt>
                <c:pt idx="397">
                  <c:v>7885.921699965309</c:v>
                </c:pt>
                <c:pt idx="398">
                  <c:v>7911.9037782748546</c:v>
                </c:pt>
                <c:pt idx="399">
                  <c:v>7937.8859790439546</c:v>
                </c:pt>
                <c:pt idx="400">
                  <c:v>7963.8683012545816</c:v>
                </c:pt>
                <c:pt idx="401">
                  <c:v>7989.8507438987544</c:v>
                </c:pt>
                <c:pt idx="402">
                  <c:v>8015.83330597842</c:v>
                </c:pt>
                <c:pt idx="403">
                  <c:v>8041.8159865053422</c:v>
                </c:pt>
                <c:pt idx="404">
                  <c:v>8067.7987845009902</c:v>
                </c:pt>
                <c:pt idx="405">
                  <c:v>8093.781698996424</c:v>
                </c:pt>
                <c:pt idx="406">
                  <c:v>8119.7647290321884</c:v>
                </c:pt>
                <c:pt idx="407">
                  <c:v>8145.7478736582043</c:v>
                </c:pt>
                <c:pt idx="408">
                  <c:v>8171.7311319336613</c:v>
                </c:pt>
                <c:pt idx="409">
                  <c:v>8197.7145029269141</c:v>
                </c:pt>
                <c:pt idx="410">
                  <c:v>8223.6979857153747</c:v>
                </c:pt>
                <c:pt idx="411">
                  <c:v>8249.6815793854166</c:v>
                </c:pt>
                <c:pt idx="412">
                  <c:v>8275.6652830322691</c:v>
                </c:pt>
                <c:pt idx="413">
                  <c:v>8301.6490957599181</c:v>
                </c:pt>
                <c:pt idx="414">
                  <c:v>8327.6330166810076</c:v>
                </c:pt>
                <c:pt idx="415">
                  <c:v>8353.6170449167421</c:v>
                </c:pt>
                <c:pt idx="416">
                  <c:v>8379.6011795967934</c:v>
                </c:pt>
                <c:pt idx="417">
                  <c:v>8405.5854198592024</c:v>
                </c:pt>
                <c:pt idx="418">
                  <c:v>8431.5697648502864</c:v>
                </c:pt>
                <c:pt idx="419">
                  <c:v>8457.5542137245466</c:v>
                </c:pt>
                <c:pt idx="420">
                  <c:v>8483.5387656445819</c:v>
                </c:pt>
                <c:pt idx="421">
                  <c:v>8509.5234197809896</c:v>
                </c:pt>
                <c:pt idx="422">
                  <c:v>8535.5081753122813</c:v>
                </c:pt>
                <c:pt idx="423">
                  <c:v>8561.4930314247977</c:v>
                </c:pt>
                <c:pt idx="424">
                  <c:v>8587.477987312619</c:v>
                </c:pt>
                <c:pt idx="425">
                  <c:v>8613.46304217748</c:v>
                </c:pt>
                <c:pt idx="426">
                  <c:v>8639.4481952286842</c:v>
                </c:pt>
                <c:pt idx="427">
                  <c:v>8665.433445683022</c:v>
                </c:pt>
                <c:pt idx="428">
                  <c:v>8691.4187927646872</c:v>
                </c:pt>
                <c:pt idx="429">
                  <c:v>8717.4042357051985</c:v>
                </c:pt>
                <c:pt idx="430">
                  <c:v>8743.3897737433163</c:v>
                </c:pt>
                <c:pt idx="431">
                  <c:v>8769.3754061249638</c:v>
                </c:pt>
                <c:pt idx="432">
                  <c:v>8795.3611321031494</c:v>
                </c:pt>
                <c:pt idx="433">
                  <c:v>8821.3469509378883</c:v>
                </c:pt>
                <c:pt idx="434">
                  <c:v>8847.3328618961295</c:v>
                </c:pt>
                <c:pt idx="435">
                  <c:v>8873.3188642516743</c:v>
                </c:pt>
                <c:pt idx="436">
                  <c:v>8899.3049572851105</c:v>
                </c:pt>
                <c:pt idx="437">
                  <c:v>8925.2911402837271</c:v>
                </c:pt>
                <c:pt idx="438">
                  <c:v>8951.2774125414526</c:v>
                </c:pt>
                <c:pt idx="439">
                  <c:v>8977.2637733587799</c:v>
                </c:pt>
                <c:pt idx="440">
                  <c:v>9003.2502220426923</c:v>
                </c:pt>
                <c:pt idx="441">
                  <c:v>9029.2367579065958</c:v>
                </c:pt>
                <c:pt idx="442">
                  <c:v>9055.2233802702503</c:v>
                </c:pt>
                <c:pt idx="443">
                  <c:v>9081.2100884597021</c:v>
                </c:pt>
                <c:pt idx="444">
                  <c:v>9107.1968818072128</c:v>
                </c:pt>
                <c:pt idx="445">
                  <c:v>9133.1837596511996</c:v>
                </c:pt>
                <c:pt idx="446">
                  <c:v>9159.1707213361587</c:v>
                </c:pt>
                <c:pt idx="447">
                  <c:v>9185.1577662126147</c:v>
                </c:pt>
                <c:pt idx="448">
                  <c:v>9211.1448936370416</c:v>
                </c:pt>
                <c:pt idx="449">
                  <c:v>9237.1321029718092</c:v>
                </c:pt>
                <c:pt idx="450">
                  <c:v>9263.1193935851188</c:v>
                </c:pt>
                <c:pt idx="451">
                  <c:v>9289.1067648509379</c:v>
                </c:pt>
                <c:pt idx="452">
                  <c:v>9315.0942161489402</c:v>
                </c:pt>
                <c:pt idx="453">
                  <c:v>9341.0817468644509</c:v>
                </c:pt>
                <c:pt idx="454">
                  <c:v>9367.0693563883779</c:v>
                </c:pt>
                <c:pt idx="455">
                  <c:v>9393.0570441171603</c:v>
                </c:pt>
                <c:pt idx="456">
                  <c:v>9419.0448094527037</c:v>
                </c:pt>
                <c:pt idx="457">
                  <c:v>9445.0326518023303</c:v>
                </c:pt>
                <c:pt idx="458">
                  <c:v>9471.0205705787157</c:v>
                </c:pt>
                <c:pt idx="459">
                  <c:v>9497.0085651998343</c:v>
                </c:pt>
                <c:pt idx="460">
                  <c:v>9522.9966350889063</c:v>
                </c:pt>
                <c:pt idx="461">
                  <c:v>9548.9847796743397</c:v>
                </c:pt>
                <c:pt idx="462">
                  <c:v>9574.9729983896796</c:v>
                </c:pt>
                <c:pt idx="463">
                  <c:v>9600.961290673551</c:v>
                </c:pt>
                <c:pt idx="464">
                  <c:v>9626.9496559696054</c:v>
                </c:pt>
                <c:pt idx="465">
                  <c:v>9652.9380937264759</c:v>
                </c:pt>
                <c:pt idx="466">
                  <c:v>9678.9266033977146</c:v>
                </c:pt>
                <c:pt idx="467">
                  <c:v>9704.9151844417538</c:v>
                </c:pt>
                <c:pt idx="468">
                  <c:v>9730.9038363218424</c:v>
                </c:pt>
                <c:pt idx="469">
                  <c:v>9756.892558506006</c:v>
                </c:pt>
                <c:pt idx="470">
                  <c:v>9782.8813504669943</c:v>
                </c:pt>
                <c:pt idx="471">
                  <c:v>9808.8702116822333</c:v>
                </c:pt>
                <c:pt idx="472">
                  <c:v>9834.8591416337749</c:v>
                </c:pt>
                <c:pt idx="473">
                  <c:v>9860.8481398082531</c:v>
                </c:pt>
                <c:pt idx="474">
                  <c:v>9886.837205696831</c:v>
                </c:pt>
                <c:pt idx="475">
                  <c:v>9912.8263387951611</c:v>
                </c:pt>
                <c:pt idx="476">
                  <c:v>9938.8155386033377</c:v>
                </c:pt>
                <c:pt idx="477">
                  <c:v>9964.8048046258482</c:v>
                </c:pt>
                <c:pt idx="478">
                  <c:v>9990.7941363715308</c:v>
                </c:pt>
                <c:pt idx="479">
                  <c:v>10016.783533353531</c:v>
                </c:pt>
                <c:pt idx="480">
                  <c:v>10042.772995089255</c:v>
                </c:pt>
                <c:pt idx="481">
                  <c:v>10068.762521100332</c:v>
                </c:pt>
                <c:pt idx="482">
                  <c:v>10094.752110912563</c:v>
                </c:pt>
                <c:pt idx="483">
                  <c:v>10120.741764055887</c:v>
                </c:pt>
                <c:pt idx="484">
                  <c:v>10146.731480064331</c:v>
                </c:pt>
                <c:pt idx="485">
                  <c:v>10172.721258475976</c:v>
                </c:pt>
                <c:pt idx="486">
                  <c:v>10198.711098832915</c:v>
                </c:pt>
                <c:pt idx="487">
                  <c:v>10224.701000681209</c:v>
                </c:pt>
                <c:pt idx="488">
                  <c:v>10250.690963570847</c:v>
                </c:pt>
                <c:pt idx="489">
                  <c:v>10276.680987055712</c:v>
                </c:pt>
                <c:pt idx="490">
                  <c:v>10302.671070693537</c:v>
                </c:pt>
                <c:pt idx="491">
                  <c:v>10328.661214045867</c:v>
                </c:pt>
                <c:pt idx="492">
                  <c:v>10354.651416678025</c:v>
                </c:pt>
                <c:pt idx="493">
                  <c:v>10380.641678159069</c:v>
                </c:pt>
                <c:pt idx="494">
                  <c:v>10406.631998061755</c:v>
                </c:pt>
                <c:pt idx="495">
                  <c:v>10432.622375962508</c:v>
                </c:pt>
                <c:pt idx="496">
                  <c:v>10458.612811441375</c:v>
                </c:pt>
                <c:pt idx="497">
                  <c:v>10484.603304081997</c:v>
                </c:pt>
                <c:pt idx="498">
                  <c:v>10510.593853471568</c:v>
                </c:pt>
                <c:pt idx="499">
                  <c:v>10536.5844592008</c:v>
                </c:pt>
                <c:pt idx="500">
                  <c:v>10562.575120863898</c:v>
                </c:pt>
                <c:pt idx="501">
                  <c:v>10588.56583805851</c:v>
                </c:pt>
                <c:pt idx="502">
                  <c:v>10614.556610385707</c:v>
                </c:pt>
                <c:pt idx="503">
                  <c:v>10640.547437449937</c:v>
                </c:pt>
                <c:pt idx="504">
                  <c:v>10666.538318859004</c:v>
                </c:pt>
                <c:pt idx="505">
                  <c:v>10692.529254224028</c:v>
                </c:pt>
                <c:pt idx="506">
                  <c:v>10718.52024315941</c:v>
                </c:pt>
                <c:pt idx="507">
                  <c:v>10744.511285282806</c:v>
                </c:pt>
                <c:pt idx="508">
                  <c:v>10770.502380215095</c:v>
                </c:pt>
                <c:pt idx="509">
                  <c:v>10796.493527580344</c:v>
                </c:pt>
                <c:pt idx="510">
                  <c:v>10822.484727005776</c:v>
                </c:pt>
                <c:pt idx="511">
                  <c:v>10848.475978121745</c:v>
                </c:pt>
                <c:pt idx="512">
                  <c:v>10874.467280561699</c:v>
                </c:pt>
                <c:pt idx="513">
                  <c:v>10900.458633962155</c:v>
                </c:pt>
                <c:pt idx="514">
                  <c:v>10926.450037962668</c:v>
                </c:pt>
                <c:pt idx="515">
                  <c:v>10952.4414922058</c:v>
                </c:pt>
                <c:pt idx="516">
                  <c:v>10978.432996337095</c:v>
                </c:pt>
                <c:pt idx="517">
                  <c:v>11004.424550005038</c:v>
                </c:pt>
                <c:pt idx="518">
                  <c:v>11030.416152861049</c:v>
                </c:pt>
                <c:pt idx="519">
                  <c:v>11056.407804559431</c:v>
                </c:pt>
                <c:pt idx="520">
                  <c:v>11082.399504757359</c:v>
                </c:pt>
                <c:pt idx="521">
                  <c:v>11108.391253114843</c:v>
                </c:pt>
                <c:pt idx="522">
                  <c:v>11134.383049294707</c:v>
                </c:pt>
                <c:pt idx="523">
                  <c:v>11160.374892962556</c:v>
                </c:pt>
                <c:pt idx="524">
                  <c:v>11186.366783786756</c:v>
                </c:pt>
                <c:pt idx="525">
                  <c:v>11212.358721438401</c:v>
                </c:pt>
                <c:pt idx="526">
                  <c:v>11238.350705591294</c:v>
                </c:pt>
                <c:pt idx="527">
                  <c:v>11264.342735921913</c:v>
                </c:pt>
                <c:pt idx="528">
                  <c:v>11290.334812109397</c:v>
                </c:pt>
                <c:pt idx="529">
                  <c:v>11316.326933835504</c:v>
                </c:pt>
                <c:pt idx="530">
                  <c:v>11342.319100784605</c:v>
                </c:pt>
                <c:pt idx="531">
                  <c:v>11368.311312643647</c:v>
                </c:pt>
                <c:pt idx="532">
                  <c:v>11394.30356910213</c:v>
                </c:pt>
                <c:pt idx="533">
                  <c:v>11420.295869852087</c:v>
                </c:pt>
                <c:pt idx="534">
                  <c:v>11446.288214588058</c:v>
                </c:pt>
                <c:pt idx="535">
                  <c:v>11472.280603007064</c:v>
                </c:pt>
                <c:pt idx="536">
                  <c:v>11498.273034808588</c:v>
                </c:pt>
                <c:pt idx="537">
                  <c:v>11524.265509694549</c:v>
                </c:pt>
                <c:pt idx="538">
                  <c:v>11550.258027369284</c:v>
                </c:pt>
                <c:pt idx="539">
                  <c:v>11576.250587539513</c:v>
                </c:pt>
                <c:pt idx="540">
                  <c:v>11602.24318991433</c:v>
                </c:pt>
                <c:pt idx="541">
                  <c:v>11628.235834205178</c:v>
                </c:pt>
                <c:pt idx="542">
                  <c:v>11654.22852012582</c:v>
                </c:pt>
                <c:pt idx="543">
                  <c:v>11680.221247392326</c:v>
                </c:pt>
                <c:pt idx="544">
                  <c:v>11706.214015723046</c:v>
                </c:pt>
                <c:pt idx="545">
                  <c:v>11732.206824838591</c:v>
                </c:pt>
                <c:pt idx="546">
                  <c:v>11758.199674461814</c:v>
                </c:pt>
                <c:pt idx="547">
                  <c:v>11784.192564317778</c:v>
                </c:pt>
                <c:pt idx="548">
                  <c:v>11810.185494133759</c:v>
                </c:pt>
                <c:pt idx="549">
                  <c:v>11836.178463639197</c:v>
                </c:pt>
                <c:pt idx="550">
                  <c:v>11862.171472565697</c:v>
                </c:pt>
                <c:pt idx="551">
                  <c:v>11888.164520647002</c:v>
                </c:pt>
                <c:pt idx="552">
                  <c:v>11914.15760761897</c:v>
                </c:pt>
                <c:pt idx="553">
                  <c:v>11940.150733219562</c:v>
                </c:pt>
                <c:pt idx="554">
                  <c:v>11966.143897188813</c:v>
                </c:pt>
                <c:pt idx="555">
                  <c:v>11992.137099268826</c:v>
                </c:pt>
                <c:pt idx="556">
                  <c:v>12018.130339203737</c:v>
                </c:pt>
                <c:pt idx="557">
                  <c:v>12044.123616739713</c:v>
                </c:pt>
                <c:pt idx="558">
                  <c:v>12070.116931624918</c:v>
                </c:pt>
                <c:pt idx="559">
                  <c:v>12096.110283609505</c:v>
                </c:pt>
                <c:pt idx="560">
                  <c:v>12122.103672445599</c:v>
                </c:pt>
                <c:pt idx="561">
                  <c:v>12148.09709788727</c:v>
                </c:pt>
                <c:pt idx="562">
                  <c:v>12174.09055969052</c:v>
                </c:pt>
                <c:pt idx="563">
                  <c:v>12200.084057613269</c:v>
                </c:pt>
                <c:pt idx="564">
                  <c:v>12226.077591415333</c:v>
                </c:pt>
                <c:pt idx="565">
                  <c:v>12252.071160858408</c:v>
                </c:pt>
                <c:pt idx="566">
                  <c:v>12278.064765706053</c:v>
                </c:pt>
                <c:pt idx="567">
                  <c:v>12304.058405723672</c:v>
                </c:pt>
                <c:pt idx="568">
                  <c:v>12330.052080678504</c:v>
                </c:pt>
                <c:pt idx="569">
                  <c:v>12356.045790339595</c:v>
                </c:pt>
                <c:pt idx="570">
                  <c:v>12382.03953447779</c:v>
                </c:pt>
                <c:pt idx="571">
                  <c:v>12408.033312865717</c:v>
                </c:pt>
                <c:pt idx="572">
                  <c:v>12434.027125277766</c:v>
                </c:pt>
                <c:pt idx="573">
                  <c:v>12460.020971490076</c:v>
                </c:pt>
                <c:pt idx="574">
                  <c:v>12486.014851280519</c:v>
                </c:pt>
                <c:pt idx="575">
                  <c:v>12512.008764428689</c:v>
                </c:pt>
                <c:pt idx="576">
                  <c:v>12538.002710715875</c:v>
                </c:pt>
                <c:pt idx="577">
                  <c:v>12563.996689925059</c:v>
                </c:pt>
                <c:pt idx="578">
                  <c:v>12589.990701840896</c:v>
                </c:pt>
                <c:pt idx="579">
                  <c:v>12615.984746249691</c:v>
                </c:pt>
                <c:pt idx="580">
                  <c:v>12641.9788229394</c:v>
                </c:pt>
                <c:pt idx="581">
                  <c:v>12667.9729316996</c:v>
                </c:pt>
                <c:pt idx="582">
                  <c:v>12693.967072321486</c:v>
                </c:pt>
                <c:pt idx="583">
                  <c:v>12719.961244597849</c:v>
                </c:pt>
                <c:pt idx="584">
                  <c:v>12745.955448323071</c:v>
                </c:pt>
                <c:pt idx="585">
                  <c:v>12771.949683293096</c:v>
                </c:pt>
                <c:pt idx="586">
                  <c:v>12797.943949305434</c:v>
                </c:pt>
                <c:pt idx="587">
                  <c:v>12823.938246159132</c:v>
                </c:pt>
                <c:pt idx="588">
                  <c:v>12849.932573654771</c:v>
                </c:pt>
                <c:pt idx="589">
                  <c:v>12875.926931594446</c:v>
                </c:pt>
                <c:pt idx="590">
                  <c:v>12901.921319781755</c:v>
                </c:pt>
                <c:pt idx="591">
                  <c:v>12927.915738021789</c:v>
                </c:pt>
                <c:pt idx="592">
                  <c:v>12953.910186121113</c:v>
                </c:pt>
                <c:pt idx="593">
                  <c:v>12979.904663887755</c:v>
                </c:pt>
                <c:pt idx="594">
                  <c:v>13005.899171131197</c:v>
                </c:pt>
                <c:pt idx="595">
                  <c:v>13031.893707662361</c:v>
                </c:pt>
                <c:pt idx="596">
                  <c:v>13057.888273293587</c:v>
                </c:pt>
                <c:pt idx="597">
                  <c:v>13083.882867838636</c:v>
                </c:pt>
                <c:pt idx="598">
                  <c:v>13109.877491112669</c:v>
                </c:pt>
                <c:pt idx="599">
                  <c:v>13135.872142932236</c:v>
                </c:pt>
                <c:pt idx="600">
                  <c:v>13161.866823115261</c:v>
                </c:pt>
                <c:pt idx="601">
                  <c:v>13187.861531481034</c:v>
                </c:pt>
                <c:pt idx="602">
                  <c:v>13213.856267850204</c:v>
                </c:pt>
                <c:pt idx="603">
                  <c:v>13239.851032044751</c:v>
                </c:pt>
                <c:pt idx="604">
                  <c:v>13265.845823887996</c:v>
                </c:pt>
                <c:pt idx="605">
                  <c:v>13291.840643204572</c:v>
                </c:pt>
                <c:pt idx="606">
                  <c:v>13317.835489820418</c:v>
                </c:pt>
                <c:pt idx="607">
                  <c:v>13343.830363562774</c:v>
                </c:pt>
                <c:pt idx="608">
                  <c:v>13369.825264260164</c:v>
                </c:pt>
                <c:pt idx="609">
                  <c:v>13395.820191742379</c:v>
                </c:pt>
                <c:pt idx="610">
                  <c:v>13421.815145840483</c:v>
                </c:pt>
                <c:pt idx="611">
                  <c:v>13447.810126386785</c:v>
                </c:pt>
                <c:pt idx="612">
                  <c:v>13473.805133214835</c:v>
                </c:pt>
                <c:pt idx="613">
                  <c:v>13499.800166159417</c:v>
                </c:pt>
                <c:pt idx="614">
                  <c:v>13525.795225056536</c:v>
                </c:pt>
                <c:pt idx="615">
                  <c:v>13551.790309743403</c:v>
                </c:pt>
                <c:pt idx="616">
                  <c:v>13577.78542005843</c:v>
                </c:pt>
                <c:pt idx="617">
                  <c:v>13603.780555841218</c:v>
                </c:pt>
                <c:pt idx="618">
                  <c:v>13629.77571693255</c:v>
                </c:pt>
                <c:pt idx="619">
                  <c:v>13655.770903174376</c:v>
                </c:pt>
                <c:pt idx="620">
                  <c:v>13681.766114409804</c:v>
                </c:pt>
                <c:pt idx="621">
                  <c:v>13707.761350483093</c:v>
                </c:pt>
                <c:pt idx="622">
                  <c:v>13733.756611239642</c:v>
                </c:pt>
                <c:pt idx="623">
                  <c:v>13759.751896525977</c:v>
                </c:pt>
                <c:pt idx="624">
                  <c:v>13785.74720618975</c:v>
                </c:pt>
                <c:pt idx="625">
                  <c:v>13811.742540079722</c:v>
                </c:pt>
                <c:pt idx="626">
                  <c:v>13837.737898045752</c:v>
                </c:pt>
                <c:pt idx="627">
                  <c:v>13863.733279938799</c:v>
                </c:pt>
                <c:pt idx="628">
                  <c:v>13889.728685610897</c:v>
                </c:pt>
                <c:pt idx="629">
                  <c:v>13915.72411491516</c:v>
                </c:pt>
                <c:pt idx="630">
                  <c:v>13941.719567705768</c:v>
                </c:pt>
                <c:pt idx="631">
                  <c:v>13967.715043837952</c:v>
                </c:pt>
                <c:pt idx="632">
                  <c:v>13993.710543167996</c:v>
                </c:pt>
                <c:pt idx="633">
                  <c:v>14019.706065553217</c:v>
                </c:pt>
                <c:pt idx="634">
                  <c:v>14045.701610851971</c:v>
                </c:pt>
                <c:pt idx="635">
                  <c:v>14071.697178923625</c:v>
                </c:pt>
                <c:pt idx="636">
                  <c:v>14097.692769628569</c:v>
                </c:pt>
                <c:pt idx="637">
                  <c:v>14123.68838282819</c:v>
                </c:pt>
                <c:pt idx="638">
                  <c:v>14149.684018384876</c:v>
                </c:pt>
                <c:pt idx="639">
                  <c:v>14175.679676161999</c:v>
                </c:pt>
                <c:pt idx="640">
                  <c:v>14201.675356023918</c:v>
                </c:pt>
                <c:pt idx="641">
                  <c:v>14227.671057835954</c:v>
                </c:pt>
                <c:pt idx="642">
                  <c:v>14253.666781464399</c:v>
                </c:pt>
                <c:pt idx="643">
                  <c:v>14279.662526776501</c:v>
                </c:pt>
                <c:pt idx="644">
                  <c:v>14305.65829364045</c:v>
                </c:pt>
                <c:pt idx="645">
                  <c:v>14331.654081925382</c:v>
                </c:pt>
                <c:pt idx="646">
                  <c:v>14357.649891501362</c:v>
                </c:pt>
                <c:pt idx="647">
                  <c:v>14383.645722239382</c:v>
                </c:pt>
                <c:pt idx="648">
                  <c:v>14409.64157401135</c:v>
                </c:pt>
                <c:pt idx="649">
                  <c:v>14435.637446690083</c:v>
                </c:pt>
                <c:pt idx="650">
                  <c:v>14461.633340149301</c:v>
                </c:pt>
                <c:pt idx="651">
                  <c:v>14487.62925426362</c:v>
                </c:pt>
                <c:pt idx="652">
                  <c:v>14513.62518890854</c:v>
                </c:pt>
                <c:pt idx="653">
                  <c:v>14539.621143960445</c:v>
                </c:pt>
                <c:pt idx="654">
                  <c:v>14565.617119296592</c:v>
                </c:pt>
                <c:pt idx="655">
                  <c:v>14591.6131147951</c:v>
                </c:pt>
                <c:pt idx="656">
                  <c:v>14617.609130334949</c:v>
                </c:pt>
                <c:pt idx="657">
                  <c:v>14643.605165795976</c:v>
                </c:pt>
                <c:pt idx="658">
                  <c:v>14669.601221058852</c:v>
                </c:pt>
                <c:pt idx="659">
                  <c:v>14695.597296005099</c:v>
                </c:pt>
                <c:pt idx="660">
                  <c:v>14721.59339051706</c:v>
                </c:pt>
                <c:pt idx="661">
                  <c:v>14747.58950447791</c:v>
                </c:pt>
                <c:pt idx="662">
                  <c:v>14773.585637771635</c:v>
                </c:pt>
                <c:pt idx="663">
                  <c:v>14799.58179028304</c:v>
                </c:pt>
                <c:pt idx="664">
                  <c:v>14825.57796189773</c:v>
                </c:pt>
                <c:pt idx="665">
                  <c:v>14851.574152502109</c:v>
                </c:pt>
                <c:pt idx="666">
                  <c:v>14877.570361983375</c:v>
                </c:pt>
                <c:pt idx="667">
                  <c:v>14903.566590229508</c:v>
                </c:pt>
                <c:pt idx="668">
                  <c:v>14929.562837129271</c:v>
                </c:pt>
                <c:pt idx="669">
                  <c:v>14955.559102572199</c:v>
                </c:pt>
                <c:pt idx="670">
                  <c:v>14981.555386448594</c:v>
                </c:pt>
                <c:pt idx="671">
                  <c:v>15007.551688649515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D0-4C2B-A6F0-09BBCF169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097136"/>
        <c:axId val="1965190816"/>
      </c:scatterChart>
      <c:valAx>
        <c:axId val="170709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5190816"/>
        <c:crosses val="autoZero"/>
        <c:crossBetween val="midCat"/>
      </c:valAx>
      <c:valAx>
        <c:axId val="19651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0709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342900</xdr:colOff>
      <xdr:row>5</xdr:row>
      <xdr:rowOff>167640</xdr:rowOff>
    </xdr:from>
    <xdr:to>
      <xdr:col>20</xdr:col>
      <xdr:colOff>160020</xdr:colOff>
      <xdr:row>20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29D4039-A2EC-47C7-B9EE-CBE8137A6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358140</xdr:colOff>
      <xdr:row>21</xdr:row>
      <xdr:rowOff>114300</xdr:rowOff>
    </xdr:from>
    <xdr:to>
      <xdr:col>20</xdr:col>
      <xdr:colOff>175260</xdr:colOff>
      <xdr:row>36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2544A9-CFA9-4C32-9FFD-1BE36AF97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BBACE1-C21E-4089-99DC-F8C1DA54E62F}" name="Tableau1" displayName="Tableau1" ref="B2:M674" totalsRowShown="0" headerRowDxfId="7">
  <autoFilter ref="B2:M674" xr:uid="{4D3E30EF-625C-47E7-A63E-E775352C9B5C}"/>
  <tableColumns count="12">
    <tableColumn id="1" xr3:uid="{6938972F-6A39-4DED-98F2-C3F7ED0BDC6C}" name="P"/>
    <tableColumn id="2" xr3:uid="{8CA5D46C-1321-4FCA-9300-4650D01B70BE}" name="d1" dataDxfId="6">
      <calculatedColumnFormula xml:space="preserve"> (LN($B3/$P$4) + ($N$4 + ($R$4^2)/2) * $O$4) / ($R$4 * SQRT($O$4))</calculatedColumnFormula>
    </tableColumn>
    <tableColumn id="3" xr3:uid="{C76D184A-77B4-4E01-BD47-6C98B66AF2FA}" name="d2" dataDxfId="5">
      <calculatedColumnFormula>Tableau1[[#This Row],[d1]]-$R$4*SQRT($O$4)</calculatedColumnFormula>
    </tableColumn>
    <tableColumn id="4" xr3:uid="{953C2994-AF47-45CB-A192-556FC8EF7140}" name="N(d1)" dataDxfId="4">
      <calculatedColumnFormula>NORMSDIST(Tableau1[[#This Row],[d1]])</calculatedColumnFormula>
    </tableColumn>
    <tableColumn id="5" xr3:uid="{E8AC6FEB-6836-4291-9F10-771325A12493}" name="N(d2)" dataDxfId="3">
      <calculatedColumnFormula>NORMSDIST(Tableau1[[#This Row],[d2]])</calculatedColumnFormula>
    </tableColumn>
    <tableColumn id="6" xr3:uid="{E6D8F3F9-4956-4902-A9CB-6B8724F97433}" name="C" dataDxfId="2">
      <calculatedColumnFormula>Tableau1[[#This Row],[P]]*Tableau1[[#This Row],[N(d1)]]-$P$4*EXP(-$N$4*$O$4)*Tableau1[[#This Row],[N(d2)]]</calculatedColumnFormula>
    </tableColumn>
    <tableColumn id="8" xr3:uid="{0A47598D-2EAF-4F39-A85E-4C463EDDCA24}" name="θ"/>
    <tableColumn id="9" xr3:uid="{40665E22-5550-4F60-9CF5-7A485EDA1549}" name="γ"/>
    <tableColumn id="10" xr3:uid="{4EBCD0CC-A78C-43B4-A1B7-F33D426361A2}" name="ν"/>
    <tableColumn id="14" xr3:uid="{1487A56B-04F6-45AD-A012-57A85FEA71A2}" name="PNL position sous jacente"/>
    <tableColumn id="13" xr3:uid="{BFD44558-E5C7-4836-9116-9391BC21B9AA}" name="PNL option" dataDxfId="1">
      <calculatedColumnFormula>MAX(Tableau1[[#This Row],[P]]-$P$4)-Tableau1[[#This Row],[C]]</calculatedColumnFormula>
    </tableColumn>
    <tableColumn id="12" xr3:uid="{8B3BF52E-8208-4991-82A2-165E3386392C}" name="PNL" dataDxfId="0">
      <calculatedColumnFormula xml:space="preserve"> Tableau1[[#This Row],[C]] - 0.5 * (-50) * (Tableau1[[#This Row],[P]] - $P$4)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B63D-6D08-4BC5-9519-CD436837A7FD}">
  <dimension ref="B2:S674"/>
  <sheetViews>
    <sheetView tabSelected="1" workbookViewId="0">
      <selection activeCell="B4" sqref="B4"/>
    </sheetView>
  </sheetViews>
  <sheetFormatPr baseColWidth="10" defaultRowHeight="14.4" x14ac:dyDescent="0.3"/>
  <cols>
    <col min="5" max="7" width="12" bestFit="1" customWidth="1"/>
  </cols>
  <sheetData>
    <row r="2" spans="2:19" ht="15.6" x14ac:dyDescent="0.3"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 t="s">
        <v>12</v>
      </c>
      <c r="I2" s="2" t="s">
        <v>13</v>
      </c>
      <c r="J2" s="2" t="s">
        <v>14</v>
      </c>
      <c r="K2" s="2" t="s">
        <v>17</v>
      </c>
      <c r="L2" s="2" t="s">
        <v>16</v>
      </c>
      <c r="M2" s="2" t="s">
        <v>15</v>
      </c>
    </row>
    <row r="3" spans="2:19" ht="15.6" x14ac:dyDescent="0.3">
      <c r="B3">
        <v>1</v>
      </c>
      <c r="C3">
        <f t="shared" ref="C3:C66" si="0" xml:space="preserve"> (LN($B3/$P$4) + ($N$4 + ($R$4^2)/2) * $O$4) / ($R$4 * SQRT($O$4))</f>
        <v>-4.5543076573339336</v>
      </c>
      <c r="D3">
        <f>Tableau1[[#This Row],[d1]]-$R$4*SQRT($O$4)</f>
        <v>-5.454307657333934</v>
      </c>
      <c r="E3">
        <f>NORMSDIST(Tableau1[[#This Row],[d1]])</f>
        <v>2.6279194334005174E-6</v>
      </c>
      <c r="F3">
        <f>NORMSDIST(Tableau1[[#This Row],[d2]])</f>
        <v>2.4582009031579553E-8</v>
      </c>
      <c r="G3">
        <f>Tableau1[[#This Row],[P]]*Tableau1[[#This Row],[N(d1)]]-$P$4*EXP(-$N$4*$O$4)*Tableau1[[#This Row],[N(d2)]]</f>
        <v>4.0652205450334383E-7</v>
      </c>
      <c r="L3">
        <f>MAX(Tableau1[[#This Row],[P]]-$P$4)-Tableau1[[#This Row],[C]]</f>
        <v>-94.000000406522048</v>
      </c>
      <c r="M3">
        <f xml:space="preserve"> Tableau1[[#This Row],[C]] - 0.5 * (-50) * (Tableau1[[#This Row],[P]] - $P$4)</f>
        <v>-2349.9999995934782</v>
      </c>
      <c r="N3" s="6" t="s">
        <v>0</v>
      </c>
      <c r="O3" s="4" t="s">
        <v>1</v>
      </c>
      <c r="P3" s="4" t="s">
        <v>2</v>
      </c>
      <c r="Q3" s="4" t="s">
        <v>3</v>
      </c>
      <c r="R3" s="5" t="s">
        <v>4</v>
      </c>
      <c r="S3" s="3" t="s">
        <v>11</v>
      </c>
    </row>
    <row r="4" spans="2:19" x14ac:dyDescent="0.3">
      <c r="B4">
        <v>2</v>
      </c>
      <c r="C4">
        <f t="shared" si="0"/>
        <v>-3.784144123378439</v>
      </c>
      <c r="D4">
        <f>Tableau1[[#This Row],[d1]]-$R$4*SQRT($O$4)</f>
        <v>-4.6841441233784389</v>
      </c>
      <c r="E4">
        <f>NORMSDIST(Tableau1[[#This Row],[d1]])</f>
        <v>7.711921524418469E-5</v>
      </c>
      <c r="F4">
        <f>NORMSDIST(Tableau1[[#This Row],[d2]])</f>
        <v>1.4056607547236781E-6</v>
      </c>
      <c r="G4">
        <f>Tableau1[[#This Row],[P]]*Tableau1[[#This Row],[N(d1)]]-$P$4*EXP(-$N$4*$O$4)*Tableau1[[#This Row],[N(d2)]]</f>
        <v>2.7213372766260241E-5</v>
      </c>
      <c r="L4">
        <f>MAX(Tableau1[[#This Row],[P]]-$P$4)-Tableau1[[#This Row],[C]]</f>
        <v>-93.000027213372761</v>
      </c>
      <c r="M4">
        <f xml:space="preserve"> Tableau1[[#This Row],[C]] - 0.5 * (-50) * (Tableau1[[#This Row],[P]] - $P$4)</f>
        <v>-2324.999972786627</v>
      </c>
      <c r="N4">
        <v>0.05</v>
      </c>
      <c r="O4">
        <v>1</v>
      </c>
      <c r="P4">
        <v>95</v>
      </c>
      <c r="Q4">
        <v>100</v>
      </c>
      <c r="R4">
        <v>0.9</v>
      </c>
      <c r="S4">
        <v>0.5</v>
      </c>
    </row>
    <row r="5" spans="2:19" x14ac:dyDescent="0.3">
      <c r="B5">
        <v>3</v>
      </c>
      <c r="C5">
        <f t="shared" si="0"/>
        <v>-3.3336273365915901</v>
      </c>
      <c r="D5">
        <f>Tableau1[[#This Row],[d1]]-$R$4*SQRT($O$4)</f>
        <v>-4.2336273365915904</v>
      </c>
      <c r="E5">
        <f>NORMSDIST(Tableau1[[#This Row],[d1]])</f>
        <v>4.2860712026638741E-4</v>
      </c>
      <c r="F5">
        <f>NORMSDIST(Tableau1[[#This Row],[d2]])</f>
        <v>1.1497594040183387E-5</v>
      </c>
      <c r="G5">
        <f>Tableau1[[#This Row],[P]]*Tableau1[[#This Row],[N(d1)]]-$P$4*EXP(-$N$4*$O$4)*Tableau1[[#This Row],[N(d2)]]</f>
        <v>2.468206334104463E-4</v>
      </c>
      <c r="L5">
        <f>MAX(Tableau1[[#This Row],[P]]-$P$4)-Tableau1[[#This Row],[C]]</f>
        <v>-92.000246820633407</v>
      </c>
      <c r="M5">
        <f xml:space="preserve"> Tableau1[[#This Row],[C]] - 0.5 * (-50) * (Tableau1[[#This Row],[P]] - $P$4)</f>
        <v>-2299.9997531793665</v>
      </c>
    </row>
    <row r="6" spans="2:19" x14ac:dyDescent="0.3">
      <c r="B6">
        <v>4</v>
      </c>
      <c r="C6">
        <f t="shared" si="0"/>
        <v>-3.0139805894229448</v>
      </c>
      <c r="D6">
        <f>Tableau1[[#This Row],[d1]]-$R$4*SQRT($O$4)</f>
        <v>-3.9139805894229447</v>
      </c>
      <c r="E6">
        <f>NORMSDIST(Tableau1[[#This Row],[d1]])</f>
        <v>1.2892215105836499E-3</v>
      </c>
      <c r="F6">
        <f>NORMSDIST(Tableau1[[#This Row],[d2]])</f>
        <v>4.539346845513184E-5</v>
      </c>
      <c r="G6">
        <f>Tableau1[[#This Row],[P]]*Tableau1[[#This Row],[N(d1)]]-$P$4*EXP(-$N$4*$O$4)*Tableau1[[#This Row],[N(d2)]]</f>
        <v>1.0548237692412938E-3</v>
      </c>
      <c r="L6">
        <f>MAX(Tableau1[[#This Row],[P]]-$P$4)-Tableau1[[#This Row],[C]]</f>
        <v>-91.001054823769238</v>
      </c>
      <c r="M6">
        <f xml:space="preserve"> Tableau1[[#This Row],[C]] - 0.5 * (-50) * (Tableau1[[#This Row],[P]] - $P$4)</f>
        <v>-2274.9989451762308</v>
      </c>
    </row>
    <row r="7" spans="2:19" x14ac:dyDescent="0.3">
      <c r="B7">
        <v>5</v>
      </c>
      <c r="C7">
        <f t="shared" si="0"/>
        <v>-2.766043310184934</v>
      </c>
      <c r="D7">
        <f>Tableau1[[#This Row],[d1]]-$R$4*SQRT($O$4)</f>
        <v>-3.6660433101849339</v>
      </c>
      <c r="E7">
        <f>NORMSDIST(Tableau1[[#This Row],[d1]])</f>
        <v>2.8370499206046289E-3</v>
      </c>
      <c r="F7">
        <f>NORMSDIST(Tableau1[[#This Row],[d2]])</f>
        <v>1.2316611216753543E-4</v>
      </c>
      <c r="G7">
        <f>Tableau1[[#This Row],[P]]*Tableau1[[#This Row],[N(d1)]]-$P$4*EXP(-$N$4*$O$4)*Tableau1[[#This Row],[N(d2)]]</f>
        <v>3.0551227534872088E-3</v>
      </c>
      <c r="L7">
        <f>MAX(Tableau1[[#This Row],[P]]-$P$4)-Tableau1[[#This Row],[C]]</f>
        <v>-90.003055122753494</v>
      </c>
      <c r="M7">
        <f xml:space="preserve"> Tableau1[[#This Row],[C]] - 0.5 * (-50) * (Tableau1[[#This Row],[P]] - $P$4)</f>
        <v>-2249.9969448772467</v>
      </c>
    </row>
    <row r="8" spans="2:19" x14ac:dyDescent="0.3">
      <c r="B8">
        <v>6</v>
      </c>
      <c r="C8">
        <f t="shared" si="0"/>
        <v>-2.5634638026360954</v>
      </c>
      <c r="D8">
        <f>Tableau1[[#This Row],[d1]]-$R$4*SQRT($O$4)</f>
        <v>-3.4634638026360953</v>
      </c>
      <c r="E8">
        <f>NORMSDIST(Tableau1[[#This Row],[d1]])</f>
        <v>5.1816753221326896E-3</v>
      </c>
      <c r="F8">
        <f>NORMSDIST(Tableau1[[#This Row],[d2]])</f>
        <v>2.6663416922900648E-4</v>
      </c>
      <c r="G8">
        <f>Tableau1[[#This Row],[P]]*Tableau1[[#This Row],[N(d1)]]-$P$4*EXP(-$N$4*$O$4)*Tableau1[[#This Row],[N(d2)]]</f>
        <v>6.9951765347424262E-3</v>
      </c>
      <c r="L8">
        <f>MAX(Tableau1[[#This Row],[P]]-$P$4)-Tableau1[[#This Row],[C]]</f>
        <v>-89.006995176534744</v>
      </c>
      <c r="M8">
        <f xml:space="preserve"> Tableau1[[#This Row],[C]] - 0.5 * (-50) * (Tableau1[[#This Row],[P]] - $P$4)</f>
        <v>-2224.9930048234651</v>
      </c>
    </row>
    <row r="9" spans="2:19" x14ac:dyDescent="0.3">
      <c r="B9">
        <v>7</v>
      </c>
      <c r="C9">
        <f t="shared" si="0"/>
        <v>-2.3921852694946972</v>
      </c>
      <c r="D9">
        <f>Tableau1[[#This Row],[d1]]-$R$4*SQRT($O$4)</f>
        <v>-3.2921852694946971</v>
      </c>
      <c r="E9">
        <f>NORMSDIST(Tableau1[[#This Row],[d1]])</f>
        <v>8.3741928067109263E-3</v>
      </c>
      <c r="F9">
        <f>NORMSDIST(Tableau1[[#This Row],[d2]])</f>
        <v>4.9706049204560013E-4</v>
      </c>
      <c r="G9">
        <f>Tableau1[[#This Row],[P]]*Tableau1[[#This Row],[N(d1)]]-$P$4*EXP(-$N$4*$O$4)*Tableau1[[#This Row],[N(d2)]]</f>
        <v>1.3701585896871586E-2</v>
      </c>
      <c r="L9">
        <f>MAX(Tableau1[[#This Row],[P]]-$P$4)-Tableau1[[#This Row],[C]]</f>
        <v>-88.013701585896868</v>
      </c>
      <c r="M9">
        <f xml:space="preserve"> Tableau1[[#This Row],[C]] - 0.5 * (-50) * (Tableau1[[#This Row],[P]] - $P$4)</f>
        <v>-2199.9862984141032</v>
      </c>
    </row>
    <row r="10" spans="2:19" x14ac:dyDescent="0.3">
      <c r="B10">
        <v>8</v>
      </c>
      <c r="C10">
        <f t="shared" si="0"/>
        <v>-2.2438170554674497</v>
      </c>
      <c r="D10">
        <f>Tableau1[[#This Row],[d1]]-$R$4*SQRT($O$4)</f>
        <v>-3.1438170554674496</v>
      </c>
      <c r="E10">
        <f>NORMSDIST(Tableau1[[#This Row],[d1]])</f>
        <v>1.2422087290414321E-2</v>
      </c>
      <c r="F10">
        <f>NORMSDIST(Tableau1[[#This Row],[d2]])</f>
        <v>8.337982868280669E-4</v>
      </c>
      <c r="G10">
        <f>Tableau1[[#This Row],[P]]*Tableau1[[#This Row],[N(d1)]]-$P$4*EXP(-$N$4*$O$4)*Tableau1[[#This Row],[N(d2)]]</f>
        <v>2.4029019193045953E-2</v>
      </c>
      <c r="L10">
        <f>MAX(Tableau1[[#This Row],[P]]-$P$4)-Tableau1[[#This Row],[C]]</f>
        <v>-87.024029019193051</v>
      </c>
      <c r="M10">
        <f xml:space="preserve"> Tableau1[[#This Row],[C]] - 0.5 * (-50) * (Tableau1[[#This Row],[P]] - $P$4)</f>
        <v>-2174.9759709808068</v>
      </c>
    </row>
    <row r="11" spans="2:19" x14ac:dyDescent="0.3">
      <c r="B11">
        <v>9</v>
      </c>
      <c r="C11">
        <f t="shared" si="0"/>
        <v>-2.1129470158492456</v>
      </c>
      <c r="D11">
        <f>Tableau1[[#This Row],[d1]]-$R$4*SQRT($O$4)</f>
        <v>-3.0129470158492455</v>
      </c>
      <c r="E11">
        <f>NORMSDIST(Tableau1[[#This Row],[d1]])</f>
        <v>1.7302651549082605E-2</v>
      </c>
      <c r="F11">
        <f>NORMSDIST(Tableau1[[#This Row],[d2]])</f>
        <v>1.2936204230650302E-3</v>
      </c>
      <c r="G11">
        <f>Tableau1[[#This Row],[P]]*Tableau1[[#This Row],[N(d1)]]-$P$4*EXP(-$N$4*$O$4)*Tableau1[[#This Row],[N(d2)]]</f>
        <v>3.8823531939064168E-2</v>
      </c>
      <c r="L11">
        <f>MAX(Tableau1[[#This Row],[P]]-$P$4)-Tableau1[[#This Row],[C]]</f>
        <v>-86.038823531939059</v>
      </c>
      <c r="M11">
        <f xml:space="preserve"> Tableau1[[#This Row],[C]] - 0.5 * (-50) * (Tableau1[[#This Row],[P]] - $P$4)</f>
        <v>-2149.9611764680608</v>
      </c>
    </row>
    <row r="12" spans="2:19" x14ac:dyDescent="0.3">
      <c r="B12">
        <v>10</v>
      </c>
      <c r="C12">
        <f t="shared" si="0"/>
        <v>-1.9958797762294391</v>
      </c>
      <c r="D12">
        <f>Tableau1[[#This Row],[d1]]-$R$4*SQRT($O$4)</f>
        <v>-2.8958797762294393</v>
      </c>
      <c r="E12">
        <f>NORMSDIST(Tableau1[[#This Row],[d1]])</f>
        <v>2.2973505265137365E-2</v>
      </c>
      <c r="F12">
        <f>NORMSDIST(Tableau1[[#This Row],[d2]])</f>
        <v>1.8904861061580446E-3</v>
      </c>
      <c r="G12">
        <f>Tableau1[[#This Row],[P]]*Tableau1[[#This Row],[N(d1)]]-$P$4*EXP(-$N$4*$O$4)*Tableau1[[#This Row],[N(d2)]]</f>
        <v>5.8897881626578968E-2</v>
      </c>
      <c r="L12">
        <f>MAX(Tableau1[[#This Row],[P]]-$P$4)-Tableau1[[#This Row],[C]]</f>
        <v>-85.058897881626578</v>
      </c>
      <c r="M12">
        <f xml:space="preserve"> Tableau1[[#This Row],[C]] - 0.5 * (-50) * (Tableau1[[#This Row],[P]] - $P$4)</f>
        <v>-2124.9411021183732</v>
      </c>
    </row>
    <row r="13" spans="2:19" x14ac:dyDescent="0.3">
      <c r="B13">
        <v>11</v>
      </c>
      <c r="C13">
        <f t="shared" si="0"/>
        <v>-1.8899795764468554</v>
      </c>
      <c r="D13">
        <f>Tableau1[[#This Row],[d1]]-$R$4*SQRT($O$4)</f>
        <v>-2.7899795764468553</v>
      </c>
      <c r="E13">
        <f>NORMSDIST(Tableau1[[#This Row],[d1]])</f>
        <v>2.9380345812042411E-2</v>
      </c>
      <c r="F13">
        <f>NORMSDIST(Tableau1[[#This Row],[d2]])</f>
        <v>2.6355683264682119E-3</v>
      </c>
      <c r="G13">
        <f>Tableau1[[#This Row],[P]]*Tableau1[[#This Row],[N(d1)]]-$P$4*EXP(-$N$4*$O$4)*Tableau1[[#This Row],[N(d2)]]</f>
        <v>8.5015940402693169E-2</v>
      </c>
      <c r="L13">
        <f>MAX(Tableau1[[#This Row],[P]]-$P$4)-Tableau1[[#This Row],[C]]</f>
        <v>-84.085015940402698</v>
      </c>
      <c r="M13">
        <f xml:space="preserve"> Tableau1[[#This Row],[C]] - 0.5 * (-50) * (Tableau1[[#This Row],[P]] - $P$4)</f>
        <v>-2099.9149840595974</v>
      </c>
    </row>
    <row r="14" spans="2:19" x14ac:dyDescent="0.3">
      <c r="B14">
        <v>12</v>
      </c>
      <c r="C14">
        <f t="shared" si="0"/>
        <v>-1.7933002686806003</v>
      </c>
      <c r="D14">
        <f>Tableau1[[#This Row],[d1]]-$R$4*SQRT($O$4)</f>
        <v>-2.6933002686806002</v>
      </c>
      <c r="E14">
        <f>NORMSDIST(Tableau1[[#This Row],[d1]])</f>
        <v>3.6462462237346074E-2</v>
      </c>
      <c r="F14">
        <f>NORMSDIST(Tableau1[[#This Row],[d2]])</f>
        <v>3.5374260354981207E-3</v>
      </c>
      <c r="G14">
        <f>Tableau1[[#This Row],[P]]*Tableau1[[#This Row],[N(d1)]]-$P$4*EXP(-$N$4*$O$4)*Tableau1[[#This Row],[N(d2)]]</f>
        <v>0.11788369231188456</v>
      </c>
      <c r="L14">
        <f>MAX(Tableau1[[#This Row],[P]]-$P$4)-Tableau1[[#This Row],[C]]</f>
        <v>-83.117883692311878</v>
      </c>
      <c r="M14">
        <f xml:space="preserve"> Tableau1[[#This Row],[C]] - 0.5 * (-50) * (Tableau1[[#This Row],[P]] - $P$4)</f>
        <v>-2074.8821163076882</v>
      </c>
    </row>
    <row r="15" spans="2:19" x14ac:dyDescent="0.3">
      <c r="B15">
        <v>13</v>
      </c>
      <c r="C15">
        <f t="shared" si="0"/>
        <v>-1.7043639268211155</v>
      </c>
      <c r="D15">
        <f>Tableau1[[#This Row],[d1]]-$R$4*SQRT($O$4)</f>
        <v>-2.6043639268211156</v>
      </c>
      <c r="E15">
        <f>NORMSDIST(Tableau1[[#This Row],[d1]])</f>
        <v>4.4156559403592553E-2</v>
      </c>
      <c r="F15">
        <f>NORMSDIST(Tableau1[[#This Row],[d2]])</f>
        <v>4.6022481320675398E-3</v>
      </c>
      <c r="G15">
        <f>Tableau1[[#This Row],[P]]*Tableau1[[#This Row],[N(d1)]]-$P$4*EXP(-$N$4*$O$4)*Tableau1[[#This Row],[N(d2)]]</f>
        <v>0.15814485724947441</v>
      </c>
      <c r="L15">
        <f>MAX(Tableau1[[#This Row],[P]]-$P$4)-Tableau1[[#This Row],[C]]</f>
        <v>-82.158144857249468</v>
      </c>
      <c r="M15">
        <f xml:space="preserve"> Tableau1[[#This Row],[C]] - 0.5 * (-50) * (Tableau1[[#This Row],[P]] - $P$4)</f>
        <v>-2049.8418551427503</v>
      </c>
    </row>
    <row r="16" spans="2:19" x14ac:dyDescent="0.3">
      <c r="B16">
        <v>14</v>
      </c>
      <c r="C16">
        <f t="shared" si="0"/>
        <v>-1.6220217355392026</v>
      </c>
      <c r="D16">
        <f>Tableau1[[#This Row],[d1]]-$R$4*SQRT($O$4)</f>
        <v>-2.5220217355392025</v>
      </c>
      <c r="E16">
        <f>NORMSDIST(Tableau1[[#This Row],[d1]])</f>
        <v>5.2399347135387554E-2</v>
      </c>
      <c r="F16">
        <f>NORMSDIST(Tableau1[[#This Row],[d2]])</f>
        <v>5.8341249106765346E-3</v>
      </c>
      <c r="G16">
        <f>Tableau1[[#This Row],[P]]*Tableau1[[#This Row],[N(d1)]]-$P$4*EXP(-$N$4*$O$4)*Tableau1[[#This Row],[N(d2)]]</f>
        <v>0.20637968817685437</v>
      </c>
      <c r="L16">
        <f>MAX(Tableau1[[#This Row],[P]]-$P$4)-Tableau1[[#This Row],[C]]</f>
        <v>-81.206379688176852</v>
      </c>
      <c r="M16">
        <f xml:space="preserve"> Tableau1[[#This Row],[C]] - 0.5 * (-50) * (Tableau1[[#This Row],[P]] - $P$4)</f>
        <v>-2024.7936203118231</v>
      </c>
    </row>
    <row r="17" spans="2:13" x14ac:dyDescent="0.3">
      <c r="B17">
        <v>15</v>
      </c>
      <c r="C17">
        <f t="shared" si="0"/>
        <v>-1.5453629894425898</v>
      </c>
      <c r="D17">
        <f>Tableau1[[#This Row],[d1]]-$R$4*SQRT($O$4)</f>
        <v>-2.4453629894425899</v>
      </c>
      <c r="E17">
        <f>NORMSDIST(Tableau1[[#This Row],[d1]])</f>
        <v>6.1129243623649486E-2</v>
      </c>
      <c r="F17">
        <f>NORMSDIST(Tableau1[[#This Row],[d2]])</f>
        <v>7.2353209205681243E-3</v>
      </c>
      <c r="G17">
        <f>Tableau1[[#This Row],[P]]*Tableau1[[#This Row],[N(d1)]]-$P$4*EXP(-$N$4*$O$4)*Tableau1[[#This Row],[N(d2)]]</f>
        <v>0.26310588959649295</v>
      </c>
      <c r="L17">
        <f>MAX(Tableau1[[#This Row],[P]]-$P$4)-Tableau1[[#This Row],[C]]</f>
        <v>-80.263105889596488</v>
      </c>
      <c r="M17">
        <f xml:space="preserve"> Tableau1[[#This Row],[C]] - 0.5 * (-50) * (Tableau1[[#This Row],[P]] - $P$4)</f>
        <v>-1999.7368941104035</v>
      </c>
    </row>
    <row r="18" spans="2:13" x14ac:dyDescent="0.3">
      <c r="B18">
        <v>16</v>
      </c>
      <c r="C18">
        <f t="shared" si="0"/>
        <v>-1.4736535215119551</v>
      </c>
      <c r="D18">
        <f>Tableau1[[#This Row],[d1]]-$R$4*SQRT($O$4)</f>
        <v>-2.373653521511955</v>
      </c>
      <c r="E18">
        <f>NORMSDIST(Tableau1[[#This Row],[d1]])</f>
        <v>7.0287451490255309E-2</v>
      </c>
      <c r="F18">
        <f>NORMSDIST(Tableau1[[#This Row],[d2]])</f>
        <v>8.8065346732684249E-3</v>
      </c>
      <c r="G18">
        <f>Tableau1[[#This Row],[P]]*Tableau1[[#This Row],[N(d1)]]-$P$4*EXP(-$N$4*$O$4)*Tableau1[[#This Row],[N(d2)]]</f>
        <v>0.32878090747970778</v>
      </c>
      <c r="L18">
        <f>MAX(Tableau1[[#This Row],[P]]-$P$4)-Tableau1[[#This Row],[C]]</f>
        <v>-79.328780907479711</v>
      </c>
      <c r="M18">
        <f xml:space="preserve"> Tableau1[[#This Row],[C]] - 0.5 * (-50) * (Tableau1[[#This Row],[P]] - $P$4)</f>
        <v>-1974.6712190925202</v>
      </c>
    </row>
    <row r="19" spans="2:13" x14ac:dyDescent="0.3">
      <c r="B19">
        <v>17</v>
      </c>
      <c r="C19">
        <f t="shared" si="0"/>
        <v>-1.4062928306048053</v>
      </c>
      <c r="D19">
        <f>Tableau1[[#This Row],[d1]]-$R$4*SQRT($O$4)</f>
        <v>-2.3062928306048054</v>
      </c>
      <c r="E19">
        <f>NORMSDIST(Tableau1[[#This Row],[d1]])</f>
        <v>7.981859408734629E-2</v>
      </c>
      <c r="F19">
        <f>NORMSDIST(Tableau1[[#This Row],[d2]])</f>
        <v>1.0547137738322851E-2</v>
      </c>
      <c r="G19">
        <f>Tableau1[[#This Row],[P]]*Tableau1[[#This Row],[N(d1)]]-$P$4*EXP(-$N$4*$O$4)*Tableau1[[#This Row],[N(d2)]]</f>
        <v>0.40380506219419932</v>
      </c>
      <c r="L19">
        <f>MAX(Tableau1[[#This Row],[P]]-$P$4)-Tableau1[[#This Row],[C]]</f>
        <v>-78.403805062194195</v>
      </c>
      <c r="M19">
        <f xml:space="preserve"> Tableau1[[#This Row],[C]] - 0.5 * (-50) * (Tableau1[[#This Row],[P]] - $P$4)</f>
        <v>-1949.5961949378059</v>
      </c>
    </row>
    <row r="20" spans="2:13" x14ac:dyDescent="0.3">
      <c r="B20">
        <v>18</v>
      </c>
      <c r="C20">
        <f t="shared" si="0"/>
        <v>-1.342783481893751</v>
      </c>
      <c r="D20">
        <f>Tableau1[[#This Row],[d1]]-$R$4*SQRT($O$4)</f>
        <v>-2.2427834818937509</v>
      </c>
      <c r="E20">
        <f>NORMSDIST(Tableau1[[#This Row],[d1]])</f>
        <v>8.9671046770402205E-2</v>
      </c>
      <c r="F20">
        <f>NORMSDIST(Tableau1[[#This Row],[d2]])</f>
        <v>1.2455390079973093E-2</v>
      </c>
      <c r="G20">
        <f>Tableau1[[#This Row],[P]]*Tableau1[[#This Row],[N(d1)]]-$P$4*EXP(-$N$4*$O$4)*Tableau1[[#This Row],[N(d2)]]</f>
        <v>0.48852515578529254</v>
      </c>
      <c r="L20">
        <f>MAX(Tableau1[[#This Row],[P]]-$P$4)-Tableau1[[#This Row],[C]]</f>
        <v>-77.488525155785297</v>
      </c>
      <c r="M20">
        <f xml:space="preserve"> Tableau1[[#This Row],[C]] - 0.5 * (-50) * (Tableau1[[#This Row],[P]] - $P$4)</f>
        <v>-1924.5114748442147</v>
      </c>
    </row>
    <row r="21" spans="2:13" x14ac:dyDescent="0.3">
      <c r="B21">
        <v>19</v>
      </c>
      <c r="C21">
        <f t="shared" si="0"/>
        <v>-1.2827087915934448</v>
      </c>
      <c r="D21">
        <f>Tableau1[[#This Row],[d1]]-$R$4*SQRT($O$4)</f>
        <v>-2.1827087915934449</v>
      </c>
      <c r="E21">
        <f>NORMSDIST(Tableau1[[#This Row],[d1]])</f>
        <v>9.9797059326328152E-2</v>
      </c>
      <c r="F21">
        <f>NORMSDIST(Tableau1[[#This Row],[d2]])</f>
        <v>1.4528631042512676E-2</v>
      </c>
      <c r="G21">
        <f>Tableau1[[#This Row],[P]]*Tableau1[[#This Row],[N(d1)]]-$P$4*EXP(-$N$4*$O$4)*Tableau1[[#This Row],[N(d2)]]</f>
        <v>0.58323829939174354</v>
      </c>
      <c r="L21">
        <f>MAX(Tableau1[[#This Row],[P]]-$P$4)-Tableau1[[#This Row],[C]]</f>
        <v>-76.583238299391738</v>
      </c>
      <c r="M21">
        <f xml:space="preserve"> Tableau1[[#This Row],[C]] - 0.5 * (-50) * (Tableau1[[#This Row],[P]] - $P$4)</f>
        <v>-1899.4167617006083</v>
      </c>
    </row>
    <row r="22" spans="2:13" x14ac:dyDescent="0.3">
      <c r="B22">
        <v>20</v>
      </c>
      <c r="C22">
        <f t="shared" si="0"/>
        <v>-1.2257162422739443</v>
      </c>
      <c r="D22">
        <f>Tableau1[[#This Row],[d1]]-$R$4*SQRT($O$4)</f>
        <v>-2.1257162422739442</v>
      </c>
      <c r="E22">
        <f>NORMSDIST(Tableau1[[#This Row],[d1]])</f>
        <v>0.11015273791356144</v>
      </c>
      <c r="F22">
        <f>NORMSDIST(Tableau1[[#This Row],[d2]])</f>
        <v>1.6763446846794112E-2</v>
      </c>
      <c r="G22">
        <f>Tableau1[[#This Row],[P]]*Tableau1[[#This Row],[N(d1)]]-$P$4*EXP(-$N$4*$O$4)*Tableau1[[#This Row],[N(d2)]]</f>
        <v>0.68819578808242299</v>
      </c>
      <c r="L22">
        <f>MAX(Tableau1[[#This Row],[P]]-$P$4)-Tableau1[[#This Row],[C]]</f>
        <v>-75.688195788082425</v>
      </c>
      <c r="M22">
        <f xml:space="preserve"> Tableau1[[#This Row],[C]] - 0.5 * (-50) * (Tableau1[[#This Row],[P]] - $P$4)</f>
        <v>-1874.3118042119177</v>
      </c>
    </row>
    <row r="23" spans="2:13" x14ac:dyDescent="0.3">
      <c r="B23">
        <v>21</v>
      </c>
      <c r="C23">
        <f t="shared" si="0"/>
        <v>-1.1715049487523532</v>
      </c>
      <c r="D23">
        <f>Tableau1[[#This Row],[d1]]-$R$4*SQRT($O$4)</f>
        <v>-2.0715049487523531</v>
      </c>
      <c r="E23">
        <f>NORMSDIST(Tableau1[[#This Row],[d1]])</f>
        <v>0.1206979349064327</v>
      </c>
      <c r="F23">
        <f>NORMSDIST(Tableau1[[#This Row],[d2]])</f>
        <v>1.9155816232494481E-2</v>
      </c>
      <c r="G23">
        <f>Tableau1[[#This Row],[P]]*Tableau1[[#This Row],[N(d1)]]-$P$4*EXP(-$N$4*$O$4)*Tableau1[[#This Row],[N(d2)]]</f>
        <v>0.80360690822075642</v>
      </c>
      <c r="L23">
        <f>MAX(Tableau1[[#This Row],[P]]-$P$4)-Tableau1[[#This Row],[C]]</f>
        <v>-74.803606908220758</v>
      </c>
      <c r="M23">
        <f xml:space="preserve"> Tableau1[[#This Row],[C]] - 0.5 * (-50) * (Tableau1[[#This Row],[P]] - $P$4)</f>
        <v>-1849.1963930917793</v>
      </c>
    </row>
    <row r="24" spans="2:13" x14ac:dyDescent="0.3">
      <c r="B24">
        <v>22</v>
      </c>
      <c r="C24">
        <f t="shared" si="0"/>
        <v>-1.119816042491361</v>
      </c>
      <c r="D24">
        <f>Tableau1[[#This Row],[d1]]-$R$4*SQRT($O$4)</f>
        <v>-2.0198160424913612</v>
      </c>
      <c r="E24">
        <f>NORMSDIST(Tableau1[[#This Row],[d1]])</f>
        <v>0.13139608074998474</v>
      </c>
      <c r="F24">
        <f>NORMSDIST(Tableau1[[#This Row],[d2]])</f>
        <v>2.1701236234801406E-2</v>
      </c>
      <c r="G24">
        <f>Tableau1[[#This Row],[P]]*Tableau1[[#This Row],[N(d1)]]-$P$4*EXP(-$N$4*$O$4)*Tableau1[[#This Row],[N(d2)]]</f>
        <v>0.92964260331416715</v>
      </c>
      <c r="L24">
        <f>MAX(Tableau1[[#This Row],[P]]-$P$4)-Tableau1[[#This Row],[C]]</f>
        <v>-73.929642603314164</v>
      </c>
      <c r="M24">
        <f xml:space="preserve"> Tableau1[[#This Row],[C]] - 0.5 * (-50) * (Tableau1[[#This Row],[P]] - $P$4)</f>
        <v>-1824.0703573966857</v>
      </c>
    </row>
    <row r="25" spans="2:13" x14ac:dyDescent="0.3">
      <c r="B25">
        <v>23</v>
      </c>
      <c r="C25">
        <f t="shared" si="0"/>
        <v>-1.0704251951904344</v>
      </c>
      <c r="D25">
        <f>Tableau1[[#This Row],[d1]]-$R$4*SQRT($O$4)</f>
        <v>-1.9704251951904346</v>
      </c>
      <c r="E25">
        <f>NORMSDIST(Tableau1[[#This Row],[d1]])</f>
        <v>0.14221398172198571</v>
      </c>
      <c r="F25">
        <f>NORMSDIST(Tableau1[[#This Row],[d2]])</f>
        <v>2.4394830187271861E-2</v>
      </c>
      <c r="G25">
        <f>Tableau1[[#This Row],[P]]*Tableau1[[#This Row],[N(d1)]]-$P$4*EXP(-$N$4*$O$4)*Tableau1[[#This Row],[N(d2)]]</f>
        <v>1.0664389530217022</v>
      </c>
      <c r="L25">
        <f>MAX(Tableau1[[#This Row],[P]]-$P$4)-Tableau1[[#This Row],[C]]</f>
        <v>-73.066438953021702</v>
      </c>
      <c r="M25">
        <f xml:space="preserve"> Tableau1[[#This Row],[C]] - 0.5 * (-50) * (Tableau1[[#This Row],[P]] - $P$4)</f>
        <v>-1798.9335610469784</v>
      </c>
    </row>
    <row r="26" spans="2:13" x14ac:dyDescent="0.3">
      <c r="B26">
        <v>24</v>
      </c>
      <c r="C26">
        <f t="shared" si="0"/>
        <v>-1.0231367347251057</v>
      </c>
      <c r="D26">
        <f>Tableau1[[#This Row],[d1]]-$R$4*SQRT($O$4)</f>
        <v>-1.9231367347251056</v>
      </c>
      <c r="E26">
        <f>NORMSDIST(Tableau1[[#This Row],[d1]])</f>
        <v>0.15312160020793206</v>
      </c>
      <c r="F26">
        <f>NORMSDIST(Tableau1[[#This Row],[d2]])</f>
        <v>2.7231439999950504E-2</v>
      </c>
      <c r="G26">
        <f>Tableau1[[#This Row],[P]]*Tableau1[[#This Row],[N(d1)]]-$P$4*EXP(-$N$4*$O$4)*Tableau1[[#This Row],[N(d2)]]</f>
        <v>1.2141004400398985</v>
      </c>
      <c r="L26">
        <f>MAX(Tableau1[[#This Row],[P]]-$P$4)-Tableau1[[#This Row],[C]]</f>
        <v>-72.2141004400399</v>
      </c>
      <c r="M26">
        <f xml:space="preserve"> Tableau1[[#This Row],[C]] - 0.5 * (-50) * (Tableau1[[#This Row],[P]] - $P$4)</f>
        <v>-1773.7858995599602</v>
      </c>
    </row>
    <row r="27" spans="2:13" x14ac:dyDescent="0.3">
      <c r="B27">
        <v>25</v>
      </c>
      <c r="C27">
        <f t="shared" si="0"/>
        <v>-0.97777896303593348</v>
      </c>
      <c r="D27">
        <f>Tableau1[[#This Row],[d1]]-$R$4*SQRT($O$4)</f>
        <v>-1.8777789630359334</v>
      </c>
      <c r="E27">
        <f>NORMSDIST(Tableau1[[#This Row],[d1]])</f>
        <v>0.16409182889210108</v>
      </c>
      <c r="F27">
        <f>NORMSDIST(Tableau1[[#This Row],[d2]])</f>
        <v>3.0205704639221349E-2</v>
      </c>
      <c r="G27">
        <f>Tableau1[[#This Row],[P]]*Tableau1[[#This Row],[N(d1)]]-$P$4*EXP(-$N$4*$O$4)*Tableau1[[#This Row],[N(d2)]]</f>
        <v>1.3727029934450452</v>
      </c>
      <c r="L27">
        <f>MAX(Tableau1[[#This Row],[P]]-$P$4)-Tableau1[[#This Row],[C]]</f>
        <v>-71.372702993445046</v>
      </c>
      <c r="M27">
        <f xml:space="preserve"> Tableau1[[#This Row],[C]] - 0.5 * (-50) * (Tableau1[[#This Row],[P]] - $P$4)</f>
        <v>-1748.627297006555</v>
      </c>
    </row>
    <row r="28" spans="2:13" x14ac:dyDescent="0.3">
      <c r="B28">
        <v>26</v>
      </c>
      <c r="C28">
        <f t="shared" si="0"/>
        <v>-0.93420039286562062</v>
      </c>
      <c r="D28">
        <f>Tableau1[[#This Row],[d1]]-$R$4*SQRT($O$4)</f>
        <v>-1.8342003928656205</v>
      </c>
      <c r="E28">
        <f>NORMSDIST(Tableau1[[#This Row],[d1]])</f>
        <v>0.17510026655989874</v>
      </c>
      <c r="F28">
        <f>NORMSDIST(Tableau1[[#This Row],[d2]])</f>
        <v>3.3312126574046579E-2</v>
      </c>
      <c r="G28">
        <f>Tableau1[[#This Row],[P]]*Tableau1[[#This Row],[N(d1)]]-$P$4*EXP(-$N$4*$O$4)*Tableau1[[#This Row],[N(d2)]]</f>
        <v>1.5422968065144667</v>
      </c>
      <c r="L28">
        <f>MAX(Tableau1[[#This Row],[P]]-$P$4)-Tableau1[[#This Row],[C]]</f>
        <v>-70.542296806514472</v>
      </c>
      <c r="M28">
        <f xml:space="preserve"> Tableau1[[#This Row],[C]] - 0.5 * (-50) * (Tableau1[[#This Row],[P]] - $P$4)</f>
        <v>-1723.4577031934855</v>
      </c>
    </row>
    <row r="29" spans="2:13" x14ac:dyDescent="0.3">
      <c r="B29">
        <v>27</v>
      </c>
      <c r="C29">
        <f t="shared" si="0"/>
        <v>-0.89226669510690193</v>
      </c>
      <c r="D29">
        <f>Tableau1[[#This Row],[d1]]-$R$4*SQRT($O$4)</f>
        <v>-1.792266695106902</v>
      </c>
      <c r="E29">
        <f>NORMSDIST(Tableau1[[#This Row],[d1]])</f>
        <v>0.1861250005702362</v>
      </c>
      <c r="F29">
        <f>NORMSDIST(Tableau1[[#This Row],[d2]])</f>
        <v>3.6545127777012007E-2</v>
      </c>
      <c r="G29">
        <f>Tableau1[[#This Row],[P]]*Tableau1[[#This Row],[N(d1)]]-$P$4*EXP(-$N$4*$O$4)*Tableau1[[#This Row],[N(d2)]]</f>
        <v>1.7229089333513201</v>
      </c>
      <c r="L29">
        <f>MAX(Tableau1[[#This Row],[P]]-$P$4)-Tableau1[[#This Row],[C]]</f>
        <v>-69.72290893335132</v>
      </c>
      <c r="M29">
        <f xml:space="preserve"> Tableau1[[#This Row],[C]] - 0.5 * (-50) * (Tableau1[[#This Row],[P]] - $P$4)</f>
        <v>-1698.2770910666486</v>
      </c>
    </row>
    <row r="30" spans="2:13" x14ac:dyDescent="0.3">
      <c r="B30">
        <v>28</v>
      </c>
      <c r="C30">
        <f t="shared" si="0"/>
        <v>-0.85185820158370762</v>
      </c>
      <c r="D30">
        <f>Tableau1[[#This Row],[d1]]-$R$4*SQRT($O$4)</f>
        <v>-1.7518582015837076</v>
      </c>
      <c r="E30">
        <f>NORMSDIST(Tableau1[[#This Row],[d1]])</f>
        <v>0.197146399188768</v>
      </c>
      <c r="F30">
        <f>NORMSDIST(Tableau1[[#This Row],[d2]])</f>
        <v>3.9899096692625369E-2</v>
      </c>
      <c r="G30">
        <f>Tableau1[[#This Row],[P]]*Tableau1[[#This Row],[N(d1)]]-$P$4*EXP(-$N$4*$O$4)*Tableau1[[#This Row],[N(d2)]]</f>
        <v>1.9145456727081887</v>
      </c>
      <c r="L30">
        <f>MAX(Tableau1[[#This Row],[P]]-$P$4)-Tableau1[[#This Row],[C]]</f>
        <v>-68.914545672708186</v>
      </c>
      <c r="M30">
        <f xml:space="preserve"> Tableau1[[#This Row],[C]] - 0.5 * (-50) * (Tableau1[[#This Row],[P]] - $P$4)</f>
        <v>-1673.0854543272917</v>
      </c>
    </row>
    <row r="31" spans="2:13" x14ac:dyDescent="0.3">
      <c r="B31">
        <v>29</v>
      </c>
      <c r="C31">
        <f t="shared" si="0"/>
        <v>-0.81286784623785191</v>
      </c>
      <c r="D31">
        <f>Tableau1[[#This Row],[d1]]-$R$4*SQRT($O$4)</f>
        <v>-1.7128678462378519</v>
      </c>
      <c r="E31">
        <f>NORMSDIST(Tableau1[[#This Row],[d1]])</f>
        <v>0.20814691565685975</v>
      </c>
      <c r="F31">
        <f>NORMSDIST(Tableau1[[#This Row],[d2]])</f>
        <v>4.336842741787942E-2</v>
      </c>
      <c r="G31">
        <f>Tableau1[[#This Row],[P]]*Tableau1[[#This Row],[N(d1)]]-$P$4*EXP(-$N$4*$O$4)*Tableau1[[#This Row],[N(d2)]]</f>
        <v>2.1171947498989421</v>
      </c>
      <c r="L31">
        <f>MAX(Tableau1[[#This Row],[P]]-$P$4)-Tableau1[[#This Row],[C]]</f>
        <v>-68.117194749898943</v>
      </c>
      <c r="M31">
        <f xml:space="preserve"> Tableau1[[#This Row],[C]] - 0.5 * (-50) * (Tableau1[[#This Row],[P]] - $P$4)</f>
        <v>-1647.882805250101</v>
      </c>
    </row>
    <row r="32" spans="2:13" x14ac:dyDescent="0.3">
      <c r="B32">
        <v>30</v>
      </c>
      <c r="C32">
        <f t="shared" si="0"/>
        <v>-0.7751994554870949</v>
      </c>
      <c r="D32">
        <f>Tableau1[[#This Row],[d1]]-$R$4*SQRT($O$4)</f>
        <v>-1.6751994554870948</v>
      </c>
      <c r="E32">
        <f>NORMSDIST(Tableau1[[#This Row],[d1]])</f>
        <v>0.21911090495174165</v>
      </c>
      <c r="F32">
        <f>NORMSDIST(Tableau1[[#This Row],[d2]])</f>
        <v>4.6947552185491286E-2</v>
      </c>
      <c r="G32">
        <f>Tableau1[[#This Row],[P]]*Tableau1[[#This Row],[N(d1)]]-$P$4*EXP(-$N$4*$O$4)*Tableau1[[#This Row],[N(d2)]]</f>
        <v>2.3308273090756488</v>
      </c>
      <c r="L32">
        <f>MAX(Tableau1[[#This Row],[P]]-$P$4)-Tableau1[[#This Row],[C]]</f>
        <v>-67.330827309075644</v>
      </c>
      <c r="M32">
        <f xml:space="preserve"> Tableau1[[#This Row],[C]] - 0.5 * (-50) * (Tableau1[[#This Row],[P]] - $P$4)</f>
        <v>-1622.6691726909244</v>
      </c>
    </row>
    <row r="33" spans="2:13" x14ac:dyDescent="0.3">
      <c r="B33">
        <v>31</v>
      </c>
      <c r="C33">
        <f t="shared" si="0"/>
        <v>-0.73876631901710488</v>
      </c>
      <c r="D33">
        <f>Tableau1[[#This Row],[d1]]-$R$4*SQRT($O$4)</f>
        <v>-1.6387663190171049</v>
      </c>
      <c r="E33">
        <f>NORMSDIST(Tableau1[[#This Row],[d1]])</f>
        <v>0.23002445355870535</v>
      </c>
      <c r="F33">
        <f>NORMSDIST(Tableau1[[#This Row],[d2]])</f>
        <v>5.0630968100277819E-2</v>
      </c>
      <c r="G33">
        <f>Tableau1[[#This Row],[P]]*Tableau1[[#This Row],[N(d1)]]-$P$4*EXP(-$N$4*$O$4)*Tableau1[[#This Row],[N(d2)]]</f>
        <v>2.555399728765444</v>
      </c>
      <c r="L33">
        <f>MAX(Tableau1[[#This Row],[P]]-$P$4)-Tableau1[[#This Row],[C]]</f>
        <v>-66.555399728765451</v>
      </c>
      <c r="M33">
        <f xml:space="preserve"> Tableau1[[#This Row],[C]] - 0.5 * (-50) * (Tableau1[[#This Row],[P]] - $P$4)</f>
        <v>-1597.4446002712345</v>
      </c>
    </row>
    <row r="34" spans="2:13" x14ac:dyDescent="0.3">
      <c r="B34">
        <v>32</v>
      </c>
      <c r="C34">
        <f t="shared" si="0"/>
        <v>-0.70348998755646019</v>
      </c>
      <c r="D34">
        <f>Tableau1[[#This Row],[d1]]-$R$4*SQRT($O$4)</f>
        <v>-1.6034899875564603</v>
      </c>
      <c r="E34">
        <f>NORMSDIST(Tableau1[[#This Row],[d1]])</f>
        <v>0.24087522214596219</v>
      </c>
      <c r="F34">
        <f>NORMSDIST(Tableau1[[#This Row],[d2]])</f>
        <v>5.4413258954165419E-2</v>
      </c>
      <c r="G34">
        <f>Tableau1[[#This Row],[P]]*Tableau1[[#This Row],[N(d1)]]-$P$4*EXP(-$N$4*$O$4)*Tableau1[[#This Row],[N(d2)]]</f>
        <v>2.7908552736537757</v>
      </c>
      <c r="L34">
        <f>MAX(Tableau1[[#This Row],[P]]-$P$4)-Tableau1[[#This Row],[C]]</f>
        <v>-65.790855273653776</v>
      </c>
      <c r="M34">
        <f xml:space="preserve"> Tableau1[[#This Row],[C]] - 0.5 * (-50) * (Tableau1[[#This Row],[P]] - $P$4)</f>
        <v>-1572.2091447263463</v>
      </c>
    </row>
    <row r="35" spans="2:13" x14ac:dyDescent="0.3">
      <c r="B35">
        <v>33</v>
      </c>
      <c r="C35">
        <f t="shared" si="0"/>
        <v>-0.66929925570451165</v>
      </c>
      <c r="D35">
        <f>Tableau1[[#This Row],[d1]]-$R$4*SQRT($O$4)</f>
        <v>-1.5692992557045118</v>
      </c>
      <c r="E35">
        <f>NORMSDIST(Tableau1[[#This Row],[d1]])</f>
        <v>0.25165230074880124</v>
      </c>
      <c r="F35">
        <f>NORMSDIST(Tableau1[[#This Row],[d2]])</f>
        <v>5.8289112834842567E-2</v>
      </c>
      <c r="G35">
        <f>Tableau1[[#This Row],[P]]*Tableau1[[#This Row],[N(d1)]]-$P$4*EXP(-$N$4*$O$4)*Tableau1[[#This Row],[N(d2)]]</f>
        <v>3.0371255953387166</v>
      </c>
      <c r="L35">
        <f>MAX(Tableau1[[#This Row],[P]]-$P$4)-Tableau1[[#This Row],[C]]</f>
        <v>-65.037125595338722</v>
      </c>
      <c r="M35">
        <f xml:space="preserve"> Tableau1[[#This Row],[C]] - 0.5 * (-50) * (Tableau1[[#This Row],[P]] - $P$4)</f>
        <v>-1546.9628744046613</v>
      </c>
    </row>
    <row r="36" spans="2:13" x14ac:dyDescent="0.3">
      <c r="B36">
        <v>34</v>
      </c>
      <c r="C36">
        <f t="shared" si="0"/>
        <v>-0.63612929664931039</v>
      </c>
      <c r="D36">
        <f>Tableau1[[#This Row],[d1]]-$R$4*SQRT($O$4)</f>
        <v>-1.5361292966493103</v>
      </c>
      <c r="E36">
        <f>NORMSDIST(Tableau1[[#This Row],[d1]])</f>
        <v>0.26234607588998615</v>
      </c>
      <c r="F36">
        <f>NORMSDIST(Tableau1[[#This Row],[d2]])</f>
        <v>6.2253336146055042E-2</v>
      </c>
      <c r="G36">
        <f>Tableau1[[#This Row],[P]]*Tableau1[[#This Row],[N(d1)]]-$P$4*EXP(-$N$4*$O$4)*Tableau1[[#This Row],[N(d2)]]</f>
        <v>3.294132094290692</v>
      </c>
      <c r="L36">
        <f>MAX(Tableau1[[#This Row],[P]]-$P$4)-Tableau1[[#This Row],[C]]</f>
        <v>-64.294132094290688</v>
      </c>
      <c r="M36">
        <f xml:space="preserve"> Tableau1[[#This Row],[C]] - 0.5 * (-50) * (Tableau1[[#This Row],[P]] - $P$4)</f>
        <v>-1521.7058679057093</v>
      </c>
    </row>
    <row r="37" spans="2:13" x14ac:dyDescent="0.3">
      <c r="B37">
        <v>35</v>
      </c>
      <c r="C37">
        <f t="shared" si="0"/>
        <v>-0.60392092234569683</v>
      </c>
      <c r="D37">
        <f>Tableau1[[#This Row],[d1]]-$R$4*SQRT($O$4)</f>
        <v>-1.5039209223456969</v>
      </c>
      <c r="E37">
        <f>NORMSDIST(Tableau1[[#This Row],[d1]])</f>
        <v>0.27294810895753596</v>
      </c>
      <c r="F37">
        <f>NORMSDIST(Tableau1[[#This Row],[d2]])</f>
        <v>6.6300864572821958E-2</v>
      </c>
      <c r="G37">
        <f>Tableau1[[#This Row],[P]]*Tableau1[[#This Row],[N(d1)]]-$P$4*EXP(-$N$4*$O$4)*Tableau1[[#This Row],[N(d2)]]</f>
        <v>3.561787154620764</v>
      </c>
      <c r="L37">
        <f>MAX(Tableau1[[#This Row],[P]]-$P$4)-Tableau1[[#This Row],[C]]</f>
        <v>-63.561787154620767</v>
      </c>
      <c r="M37">
        <f xml:space="preserve"> Tableau1[[#This Row],[C]] - 0.5 * (-50) * (Tableau1[[#This Row],[P]] - $P$4)</f>
        <v>-1496.4382128453792</v>
      </c>
    </row>
    <row r="38" spans="2:13" x14ac:dyDescent="0.3">
      <c r="B38">
        <v>36</v>
      </c>
      <c r="C38">
        <f t="shared" si="0"/>
        <v>-0.57261994793825644</v>
      </c>
      <c r="D38">
        <f>Tableau1[[#This Row],[d1]]-$R$4*SQRT($O$4)</f>
        <v>-1.4726199479382565</v>
      </c>
      <c r="E38">
        <f>NORMSDIST(Tableau1[[#This Row],[d1]])</f>
        <v>0.2834510251071618</v>
      </c>
      <c r="F38">
        <f>NORMSDIST(Tableau1[[#This Row],[d2]])</f>
        <v>7.042677145114018E-2</v>
      </c>
      <c r="G38">
        <f>Tableau1[[#This Row],[P]]*Tableau1[[#This Row],[N(d1)]]-$P$4*EXP(-$N$4*$O$4)*Tableau1[[#This Row],[N(d2)]]</f>
        <v>3.8399952625512439</v>
      </c>
      <c r="L38">
        <f>MAX(Tableau1[[#This Row],[P]]-$P$4)-Tableau1[[#This Row],[C]]</f>
        <v>-62.839995262551241</v>
      </c>
      <c r="M38">
        <f xml:space="preserve"> Tableau1[[#This Row],[C]] - 0.5 * (-50) * (Tableau1[[#This Row],[P]] - $P$4)</f>
        <v>-1471.1600047374488</v>
      </c>
    </row>
    <row r="39" spans="2:13" x14ac:dyDescent="0.3">
      <c r="B39">
        <v>37</v>
      </c>
      <c r="C39">
        <f t="shared" si="0"/>
        <v>-0.54217664328479598</v>
      </c>
      <c r="D39">
        <f>Tableau1[[#This Row],[d1]]-$R$4*SQRT($O$4)</f>
        <v>-1.442176643284796</v>
      </c>
      <c r="E39">
        <f>NORMSDIST(Tableau1[[#This Row],[d1]])</f>
        <v>0.29384841193877276</v>
      </c>
      <c r="F39">
        <f>NORMSDIST(Tableau1[[#This Row],[d2]])</f>
        <v>7.4626273937800219E-2</v>
      </c>
      <c r="G39">
        <f>Tableau1[[#This Row],[P]]*Tableau1[[#This Row],[N(d1)]]-$P$4*EXP(-$N$4*$O$4)*Tableau1[[#This Row],[N(d2)]]</f>
        <v>4.1286540187383904</v>
      </c>
      <c r="L39">
        <f>MAX(Tableau1[[#This Row],[P]]-$P$4)-Tableau1[[#This Row],[C]]</f>
        <v>-62.128654018738388</v>
      </c>
      <c r="M39">
        <f xml:space="preserve"> Tableau1[[#This Row],[C]] - 0.5 * (-50) * (Tableau1[[#This Row],[P]] - $P$4)</f>
        <v>-1445.8713459812616</v>
      </c>
    </row>
    <row r="40" spans="2:13" x14ac:dyDescent="0.3">
      <c r="B40">
        <v>38</v>
      </c>
      <c r="C40">
        <f t="shared" si="0"/>
        <v>-0.51254525763795</v>
      </c>
      <c r="D40">
        <f>Tableau1[[#This Row],[d1]]-$R$4*SQRT($O$4)</f>
        <v>-1.41254525763795</v>
      </c>
      <c r="E40">
        <f>NORMSDIST(Tableau1[[#This Row],[d1]])</f>
        <v>0.3041347272031486</v>
      </c>
      <c r="F40">
        <f>NORMSDIST(Tableau1[[#This Row],[d2]])</f>
        <v>7.8894737320587049E-2</v>
      </c>
      <c r="G40">
        <f>Tableau1[[#This Row],[P]]*Tableau1[[#This Row],[N(d1)]]-$P$4*EXP(-$N$4*$O$4)*Tableau1[[#This Row],[N(d2)]]</f>
        <v>4.4276550538479302</v>
      </c>
      <c r="L40">
        <f>MAX(Tableau1[[#This Row],[P]]-$P$4)-Tableau1[[#This Row],[C]]</f>
        <v>-61.427655053847928</v>
      </c>
      <c r="M40">
        <f xml:space="preserve"> Tableau1[[#This Row],[C]] - 0.5 * (-50) * (Tableau1[[#This Row],[P]] - $P$4)</f>
        <v>-1420.572344946152</v>
      </c>
    </row>
    <row r="41" spans="2:13" x14ac:dyDescent="0.3">
      <c r="B41">
        <v>39</v>
      </c>
      <c r="C41">
        <f t="shared" si="0"/>
        <v>-0.48368360607877148</v>
      </c>
      <c r="D41">
        <f>Tableau1[[#This Row],[d1]]-$R$4*SQRT($O$4)</f>
        <v>-1.3836836060787716</v>
      </c>
      <c r="E41">
        <f>NORMSDIST(Tableau1[[#This Row],[d1]])</f>
        <v>0.31430521481781049</v>
      </c>
      <c r="F41">
        <f>NORMSDIST(Tableau1[[#This Row],[d2]])</f>
        <v>8.3227677761298038E-2</v>
      </c>
      <c r="G41">
        <f>Tableau1[[#This Row],[P]]*Tableau1[[#This Row],[N(d1)]]-$P$4*EXP(-$N$4*$O$4)*Tableau1[[#This Row],[N(d2)]]</f>
        <v>4.7368848560506205</v>
      </c>
      <c r="L41">
        <f>MAX(Tableau1[[#This Row],[P]]-$P$4)-Tableau1[[#This Row],[C]]</f>
        <v>-60.736884856050622</v>
      </c>
      <c r="M41">
        <f xml:space="preserve"> Tableau1[[#This Row],[C]] - 0.5 * (-50) * (Tableau1[[#This Row],[P]] - $P$4)</f>
        <v>-1395.2631151439493</v>
      </c>
    </row>
    <row r="42" spans="2:13" x14ac:dyDescent="0.3">
      <c r="B42">
        <v>40</v>
      </c>
      <c r="C42">
        <f t="shared" si="0"/>
        <v>-0.45555270831844957</v>
      </c>
      <c r="D42">
        <f>Tableau1[[#This Row],[d1]]-$R$4*SQRT($O$4)</f>
        <v>-1.3555527083184495</v>
      </c>
      <c r="E42">
        <f>NORMSDIST(Tableau1[[#This Row],[d1]])</f>
        <v>0.32435582850439793</v>
      </c>
      <c r="F42">
        <f>NORMSDIST(Tableau1[[#This Row],[d2]])</f>
        <v>8.7620763722714282E-2</v>
      </c>
      <c r="G42">
        <f>Tableau1[[#This Row],[P]]*Tableau1[[#This Row],[N(d1)]]-$P$4*EXP(-$N$4*$O$4)*Tableau1[[#This Row],[N(d2)]]</f>
        <v>5.0562255184002156</v>
      </c>
      <c r="L42">
        <f>MAX(Tableau1[[#This Row],[P]]-$P$4)-Tableau1[[#This Row],[C]]</f>
        <v>-60.056225518400218</v>
      </c>
      <c r="M42">
        <f xml:space="preserve"> Tableau1[[#This Row],[C]] - 0.5 * (-50) * (Tableau1[[#This Row],[P]] - $P$4)</f>
        <v>-1369.9437744815998</v>
      </c>
    </row>
    <row r="43" spans="2:13" x14ac:dyDescent="0.3">
      <c r="B43">
        <v>41</v>
      </c>
      <c r="C43">
        <f t="shared" si="0"/>
        <v>-0.42811647210692555</v>
      </c>
      <c r="D43">
        <f>Tableau1[[#This Row],[d1]]-$R$4*SQRT($O$4)</f>
        <v>-1.3281164721069256</v>
      </c>
      <c r="E43">
        <f>NORMSDIST(Tableau1[[#This Row],[d1]])</f>
        <v>0.33428316239922895</v>
      </c>
      <c r="F43">
        <f>NORMSDIST(Tableau1[[#This Row],[d2]])</f>
        <v>9.2069816295040491E-2</v>
      </c>
      <c r="G43">
        <f>Tableau1[[#This Row],[P]]*Tableau1[[#This Row],[N(d1)]]-$P$4*EXP(-$N$4*$O$4)*Tableau1[[#This Row],[N(d2)]]</f>
        <v>5.3855554133876922</v>
      </c>
      <c r="L43">
        <f>MAX(Tableau1[[#This Row],[P]]-$P$4)-Tableau1[[#This Row],[C]]</f>
        <v>-59.385555413387692</v>
      </c>
      <c r="M43">
        <f xml:space="preserve"> Tableau1[[#This Row],[C]] - 0.5 * (-50) * (Tableau1[[#This Row],[P]] - $P$4)</f>
        <v>-1344.6144445866123</v>
      </c>
    </row>
    <row r="44" spans="2:13" x14ac:dyDescent="0.3">
      <c r="B44">
        <v>42</v>
      </c>
      <c r="C44">
        <f t="shared" si="0"/>
        <v>-0.40134141479685836</v>
      </c>
      <c r="D44">
        <f>Tableau1[[#This Row],[d1]]-$R$4*SQRT($O$4)</f>
        <v>-1.3013414147968585</v>
      </c>
      <c r="E44">
        <f>NORMSDIST(Tableau1[[#This Row],[d1]])</f>
        <v>0.34408438803121311</v>
      </c>
      <c r="F44">
        <f>NORMSDIST(Tableau1[[#This Row],[d2]])</f>
        <v>9.6570808606625314E-2</v>
      </c>
      <c r="G44">
        <f>Tableau1[[#This Row],[P]]*Tableau1[[#This Row],[N(d1)]]-$P$4*EXP(-$N$4*$O$4)*Tableau1[[#This Row],[N(d2)]]</f>
        <v>5.7247498013383158</v>
      </c>
      <c r="L44">
        <f>MAX(Tableau1[[#This Row],[P]]-$P$4)-Tableau1[[#This Row],[C]]</f>
        <v>-58.724749801338319</v>
      </c>
      <c r="M44">
        <f xml:space="preserve"> Tableau1[[#This Row],[C]] - 0.5 * (-50) * (Tableau1[[#This Row],[P]] - $P$4)</f>
        <v>-1319.2752501986618</v>
      </c>
    </row>
    <row r="45" spans="2:13" x14ac:dyDescent="0.3">
      <c r="B45">
        <v>43</v>
      </c>
      <c r="C45">
        <f t="shared" si="0"/>
        <v>-0.37519641767442041</v>
      </c>
      <c r="D45">
        <f>Tableau1[[#This Row],[d1]]-$R$4*SQRT($O$4)</f>
        <v>-1.2751964176744204</v>
      </c>
      <c r="E45">
        <f>NORMSDIST(Tableau1[[#This Row],[d1]])</f>
        <v>0.35375719710482045</v>
      </c>
      <c r="F45">
        <f>NORMSDIST(Tableau1[[#This Row],[d2]])</f>
        <v>0.10111986447731572</v>
      </c>
      <c r="G45">
        <f>Tableau1[[#This Row],[P]]*Tableau1[[#This Row],[N(d1)]]-$P$4*EXP(-$N$4*$O$4)*Tableau1[[#This Row],[N(d2)]]</f>
        <v>6.0736813787342925</v>
      </c>
      <c r="L45">
        <f>MAX(Tableau1[[#This Row],[P]]-$P$4)-Tableau1[[#This Row],[C]]</f>
        <v>-58.073681378734292</v>
      </c>
      <c r="M45">
        <f xml:space="preserve"> Tableau1[[#This Row],[C]] - 0.5 * (-50) * (Tableau1[[#This Row],[P]] - $P$4)</f>
        <v>-1293.9263186212656</v>
      </c>
    </row>
    <row r="46" spans="2:13" x14ac:dyDescent="0.3">
      <c r="B46">
        <v>44</v>
      </c>
      <c r="C46">
        <f t="shared" si="0"/>
        <v>-0.34965250853586621</v>
      </c>
      <c r="D46">
        <f>Tableau1[[#This Row],[d1]]-$R$4*SQRT($O$4)</f>
        <v>-1.2496525085358663</v>
      </c>
      <c r="E46">
        <f>NORMSDIST(Tableau1[[#This Row],[d1]])</f>
        <v>0.36329974956894862</v>
      </c>
      <c r="F46">
        <f>NORMSDIST(Tableau1[[#This Row],[d2]])</f>
        <v>0.10571325645001248</v>
      </c>
      <c r="G46">
        <f>Tableau1[[#This Row],[P]]*Tableau1[[#This Row],[N(d1)]]-$P$4*EXP(-$N$4*$O$4)*Tableau1[[#This Row],[N(d2)]]</f>
        <v>6.4322207720047722</v>
      </c>
      <c r="L46">
        <f>MAX(Tableau1[[#This Row],[P]]-$P$4)-Tableau1[[#This Row],[C]]</f>
        <v>-57.432220772004769</v>
      </c>
      <c r="M46">
        <f xml:space="preserve"> Tableau1[[#This Row],[C]] - 0.5 * (-50) * (Tableau1[[#This Row],[P]] - $P$4)</f>
        <v>-1268.5677792279953</v>
      </c>
    </row>
    <row r="47" spans="2:13" x14ac:dyDescent="0.3">
      <c r="B47">
        <v>45</v>
      </c>
      <c r="C47">
        <f t="shared" si="0"/>
        <v>-0.3246826687002457</v>
      </c>
      <c r="D47">
        <f>Tableau1[[#This Row],[d1]]-$R$4*SQRT($O$4)</f>
        <v>-1.2246826687002457</v>
      </c>
      <c r="E47">
        <f>NORMSDIST(Tableau1[[#This Row],[d1]])</f>
        <v>0.37271062649434916</v>
      </c>
      <c r="F47">
        <f>NORMSDIST(Tableau1[[#This Row],[d2]])</f>
        <v>0.11034740331636607</v>
      </c>
      <c r="G47">
        <f>Tableau1[[#This Row],[P]]*Tableau1[[#This Row],[N(d1)]]-$P$4*EXP(-$N$4*$O$4)*Tableau1[[#This Row],[N(d2)]]</f>
        <v>6.80023698182708</v>
      </c>
      <c r="L47">
        <f>MAX(Tableau1[[#This Row],[P]]-$P$4)-Tableau1[[#This Row],[C]]</f>
        <v>-56.800236981827084</v>
      </c>
      <c r="M47">
        <f xml:space="preserve"> Tableau1[[#This Row],[C]] - 0.5 * (-50) * (Tableau1[[#This Row],[P]] - $P$4)</f>
        <v>-1243.1997630181729</v>
      </c>
    </row>
    <row r="48" spans="2:13" x14ac:dyDescent="0.3">
      <c r="B48">
        <v>46</v>
      </c>
      <c r="C48">
        <f t="shared" si="0"/>
        <v>-0.30026166123493975</v>
      </c>
      <c r="D48">
        <f>Tableau1[[#This Row],[d1]]-$R$4*SQRT($O$4)</f>
        <v>-1.2002616612349397</v>
      </c>
      <c r="E48">
        <f>NORMSDIST(Tableau1[[#This Row],[d1]])</f>
        <v>0.38198878732214836</v>
      </c>
      <c r="F48">
        <f>NORMSDIST(Tableau1[[#This Row],[d2]])</f>
        <v>0.11501886723565366</v>
      </c>
      <c r="G48">
        <f>Tableau1[[#This Row],[P]]*Tableau1[[#This Row],[N(d1)]]-$P$4*EXP(-$N$4*$O$4)*Tableau1[[#This Row],[N(d2)]]</f>
        <v>7.1775977825258117</v>
      </c>
      <c r="L48">
        <f>MAX(Tableau1[[#This Row],[P]]-$P$4)-Tableau1[[#This Row],[C]]</f>
        <v>-56.177597782525808</v>
      </c>
      <c r="M48">
        <f xml:space="preserve"> Tableau1[[#This Row],[C]] - 0.5 * (-50) * (Tableau1[[#This Row],[P]] - $P$4)</f>
        <v>-1217.8224022174743</v>
      </c>
    </row>
    <row r="49" spans="2:13" x14ac:dyDescent="0.3">
      <c r="B49">
        <v>47</v>
      </c>
      <c r="C49">
        <f t="shared" si="0"/>
        <v>-0.27636587765609144</v>
      </c>
      <c r="D49">
        <f>Tableau1[[#This Row],[d1]]-$R$4*SQRT($O$4)</f>
        <v>-1.1763658776560915</v>
      </c>
      <c r="E49">
        <f>NORMSDIST(Tableau1[[#This Row],[d1]])</f>
        <v>0.39113353108358029</v>
      </c>
      <c r="F49">
        <f>NORMSDIST(Tableau1[[#This Row],[d2]])</f>
        <v>0.1197243505313272</v>
      </c>
      <c r="G49">
        <f>Tableau1[[#This Row],[P]]*Tableau1[[#This Row],[N(d1)]]-$P$4*EXP(-$N$4*$O$4)*Tableau1[[#This Row],[N(d2)]]</f>
        <v>7.564170080737842</v>
      </c>
      <c r="L49">
        <f>MAX(Tableau1[[#This Row],[P]]-$P$4)-Tableau1[[#This Row],[C]]</f>
        <v>-55.564170080737838</v>
      </c>
      <c r="M49">
        <f xml:space="preserve"> Tableau1[[#This Row],[C]] - 0.5 * (-50) * (Tableau1[[#This Row],[P]] - $P$4)</f>
        <v>-1192.4358299192622</v>
      </c>
    </row>
    <row r="50" spans="2:13" x14ac:dyDescent="0.3">
      <c r="B50">
        <v>48</v>
      </c>
      <c r="C50">
        <f t="shared" si="0"/>
        <v>-0.25297320076961088</v>
      </c>
      <c r="D50">
        <f>Tableau1[[#This Row],[d1]]-$R$4*SQRT($O$4)</f>
        <v>-1.152973200769611</v>
      </c>
      <c r="E50">
        <f>NORMSDIST(Tableau1[[#This Row],[d1]])</f>
        <v>0.4001444612261551</v>
      </c>
      <c r="F50">
        <f>NORMSDIST(Tableau1[[#This Row],[d2]])</f>
        <v>0.12446069223719626</v>
      </c>
      <c r="G50">
        <f>Tableau1[[#This Row],[P]]*Tableau1[[#This Row],[N(d1)]]-$P$4*EXP(-$N$4*$O$4)*Tableau1[[#This Row],[N(d2)]]</f>
        <v>7.9598202371293212</v>
      </c>
      <c r="L50">
        <f>MAX(Tableau1[[#This Row],[P]]-$P$4)-Tableau1[[#This Row],[C]]</f>
        <v>-54.959820237129321</v>
      </c>
      <c r="M50">
        <f xml:space="preserve"> Tableau1[[#This Row],[C]] - 0.5 * (-50) * (Tableau1[[#This Row],[P]] - $P$4)</f>
        <v>-1167.0401797628706</v>
      </c>
    </row>
    <row r="51" spans="2:13" x14ac:dyDescent="0.3">
      <c r="B51">
        <v>49</v>
      </c>
      <c r="C51">
        <f t="shared" si="0"/>
        <v>-0.23006288165546007</v>
      </c>
      <c r="D51">
        <f>Tableau1[[#This Row],[d1]]-$R$4*SQRT($O$4)</f>
        <v>-1.1300628816554601</v>
      </c>
      <c r="E51">
        <f>NORMSDIST(Tableau1[[#This Row],[d1]])</f>
        <v>0.40902145371404353</v>
      </c>
      <c r="F51">
        <f>NORMSDIST(Tableau1[[#This Row],[d2]])</f>
        <v>0.12922486445442652</v>
      </c>
      <c r="G51">
        <f>Tableau1[[#This Row],[P]]*Tableau1[[#This Row],[N(d1)]]-$P$4*EXP(-$N$4*$O$4)*Tableau1[[#This Row],[N(d2)]]</f>
        <v>8.3644143546022764</v>
      </c>
      <c r="L51">
        <f>MAX(Tableau1[[#This Row],[P]]-$P$4)-Tableau1[[#This Row],[C]]</f>
        <v>-54.364414354602275</v>
      </c>
      <c r="M51">
        <f xml:space="preserve"> Tableau1[[#This Row],[C]] - 0.5 * (-50) * (Tableau1[[#This Row],[P]] - $P$4)</f>
        <v>-1141.6355856453977</v>
      </c>
    </row>
    <row r="52" spans="2:13" x14ac:dyDescent="0.3">
      <c r="B52">
        <v>50</v>
      </c>
      <c r="C52">
        <f t="shared" si="0"/>
        <v>-0.20761542908043865</v>
      </c>
      <c r="D52">
        <f>Tableau1[[#This Row],[d1]]-$R$4*SQRT($O$4)</f>
        <v>-1.1076154290804388</v>
      </c>
      <c r="E52">
        <f>NORMSDIST(Tableau1[[#This Row],[d1]])</f>
        <v>0.41776462810050513</v>
      </c>
      <c r="F52">
        <f>NORMSDIST(Tableau1[[#This Row],[d2]])</f>
        <v>0.13401396857125297</v>
      </c>
      <c r="G52">
        <f>Tableau1[[#This Row],[P]]*Tableau1[[#This Row],[N(d1)]]-$P$4*EXP(-$N$4*$O$4)*Tableau1[[#This Row],[N(d2)]]</f>
        <v>8.7778185361117309</v>
      </c>
      <c r="L52">
        <f>MAX(Tableau1[[#This Row],[P]]-$P$4)-Tableau1[[#This Row],[C]]</f>
        <v>-53.777818536111731</v>
      </c>
      <c r="M52">
        <f xml:space="preserve"> Tableau1[[#This Row],[C]] - 0.5 * (-50) * (Tableau1[[#This Row],[P]] - $P$4)</f>
        <v>-1116.2221814638883</v>
      </c>
    </row>
    <row r="53" spans="2:13" x14ac:dyDescent="0.3">
      <c r="B53">
        <v>51</v>
      </c>
      <c r="C53">
        <f t="shared" si="0"/>
        <v>-0.18561250986246114</v>
      </c>
      <c r="D53">
        <f>Tableau1[[#This Row],[d1]]-$R$4*SQRT($O$4)</f>
        <v>-1.0856125098624612</v>
      </c>
      <c r="E53">
        <f>NORMSDIST(Tableau1[[#This Row],[d1]])</f>
        <v>0.42637432129778047</v>
      </c>
      <c r="F53">
        <f>NORMSDIST(Tableau1[[#This Row],[d2]])</f>
        <v>0.13882523138932271</v>
      </c>
      <c r="G53">
        <f>Tableau1[[#This Row],[P]]*Tableau1[[#This Row],[N(d1)]]-$P$4*EXP(-$N$4*$O$4)*Tableau1[[#This Row],[N(d2)]]</f>
        <v>9.1998991149256337</v>
      </c>
      <c r="L53">
        <f>MAX(Tableau1[[#This Row],[P]]-$P$4)-Tableau1[[#This Row],[C]]</f>
        <v>-53.199899114925636</v>
      </c>
      <c r="M53">
        <f xml:space="preserve"> Tableau1[[#This Row],[C]] - 0.5 * (-50) * (Tableau1[[#This Row],[P]] - $P$4)</f>
        <v>-1090.8001008850745</v>
      </c>
    </row>
    <row r="54" spans="2:13" x14ac:dyDescent="0.3">
      <c r="B54">
        <v>52</v>
      </c>
      <c r="C54">
        <f t="shared" si="0"/>
        <v>-0.16403685891012604</v>
      </c>
      <c r="D54">
        <f>Tableau1[[#This Row],[d1]]-$R$4*SQRT($O$4)</f>
        <v>-1.0640368589101261</v>
      </c>
      <c r="E54">
        <f>NORMSDIST(Tableau1[[#This Row],[d1]])</f>
        <v>0.43485106379514016</v>
      </c>
      <c r="F54">
        <f>NORMSDIST(Tableau1[[#This Row],[d2]])</f>
        <v>0.14365600119370753</v>
      </c>
      <c r="G54">
        <f>Tableau1[[#This Row],[P]]*Tableau1[[#This Row],[N(d1)]]-$P$4*EXP(-$N$4*$O$4)*Tableau1[[#This Row],[N(d2)]]</f>
        <v>9.6305228598986794</v>
      </c>
      <c r="L54">
        <f>MAX(Tableau1[[#This Row],[P]]-$P$4)-Tableau1[[#This Row],[C]]</f>
        <v>-52.630522859898676</v>
      </c>
      <c r="M54">
        <f xml:space="preserve"> Tableau1[[#This Row],[C]] - 0.5 * (-50) * (Tableau1[[#This Row],[P]] - $P$4)</f>
        <v>-1065.3694771401013</v>
      </c>
    </row>
    <row r="55" spans="2:13" x14ac:dyDescent="0.3">
      <c r="B55">
        <v>53</v>
      </c>
      <c r="C55">
        <f t="shared" si="0"/>
        <v>-0.14287219783157667</v>
      </c>
      <c r="D55">
        <f>Tableau1[[#This Row],[d1]]-$R$4*SQRT($O$4)</f>
        <v>-1.0428721978315767</v>
      </c>
      <c r="E55">
        <f>NORMSDIST(Tableau1[[#This Row],[d1]])</f>
        <v>0.44319555809885436</v>
      </c>
      <c r="F55">
        <f>NORMSDIST(Tableau1[[#This Row],[d2]])</f>
        <v>0.14850374379772197</v>
      </c>
      <c r="G55">
        <f>Tableau1[[#This Row],[P]]*Tableau1[[#This Row],[N(d1)]]-$P$4*EXP(-$N$4*$O$4)*Tableau1[[#This Row],[N(d2)]]</f>
        <v>10.069557158092971</v>
      </c>
      <c r="L55">
        <f>MAX(Tableau1[[#This Row],[P]]-$P$4)-Tableau1[[#This Row],[C]]</f>
        <v>-52.069557158092969</v>
      </c>
      <c r="M55">
        <f xml:space="preserve"> Tableau1[[#This Row],[C]] - 0.5 * (-50) * (Tableau1[[#This Row],[P]] - $P$4)</f>
        <v>-1039.9304428419071</v>
      </c>
    </row>
    <row r="56" spans="2:13" x14ac:dyDescent="0.3">
      <c r="B56">
        <v>54</v>
      </c>
      <c r="C56">
        <f t="shared" si="0"/>
        <v>-0.12210316115140717</v>
      </c>
      <c r="D56">
        <f>Tableau1[[#This Row],[d1]]-$R$4*SQRT($O$4)</f>
        <v>-1.0221031611514071</v>
      </c>
      <c r="E56">
        <f>NORMSDIST(Tableau1[[#This Row],[d1]])</f>
        <v>0.45140865918886908</v>
      </c>
      <c r="F56">
        <f>NORMSDIST(Tableau1[[#This Row],[d2]])</f>
        <v>0.15336603858859674</v>
      </c>
      <c r="G56">
        <f>Tableau1[[#This Row],[P]]*Tableau1[[#This Row],[N(d1)]]-$P$4*EXP(-$N$4*$O$4)*Tableau1[[#This Row],[N(d2)]]</f>
        <v>10.516870176863339</v>
      </c>
      <c r="L56">
        <f>MAX(Tableau1[[#This Row],[P]]-$P$4)-Tableau1[[#This Row],[C]]</f>
        <v>-51.516870176863335</v>
      </c>
      <c r="M56">
        <f xml:space="preserve"> Tableau1[[#This Row],[C]] - 0.5 * (-50) * (Tableau1[[#This Row],[P]] - $P$4)</f>
        <v>-1014.4831298231367</v>
      </c>
    </row>
    <row r="57" spans="2:13" x14ac:dyDescent="0.3">
      <c r="B57">
        <v>55</v>
      </c>
      <c r="C57">
        <f t="shared" si="0"/>
        <v>-0.10171522929785545</v>
      </c>
      <c r="D57">
        <f>Tableau1[[#This Row],[d1]]-$R$4*SQRT($O$4)</f>
        <v>-1.0017152292978555</v>
      </c>
      <c r="E57">
        <f>NORMSDIST(Tableau1[[#This Row],[d1]])</f>
        <v>0.45949135680609943</v>
      </c>
      <c r="F57">
        <f>NORMSDIST(Tableau1[[#This Row],[d2]])</f>
        <v>0.15824057459569643</v>
      </c>
      <c r="G57">
        <f>Tableau1[[#This Row],[P]]*Tableau1[[#This Row],[N(d1)]]-$P$4*EXP(-$N$4*$O$4)*Tableau1[[#This Row],[N(d2)]]</f>
        <v>10.972331007329441</v>
      </c>
      <c r="L57">
        <f>MAX(Tableau1[[#This Row],[P]]-$P$4)-Tableau1[[#This Row],[C]]</f>
        <v>-50.972331007329444</v>
      </c>
      <c r="M57">
        <f xml:space="preserve"> Tableau1[[#This Row],[C]] - 0.5 * (-50) * (Tableau1[[#This Row],[P]] - $P$4)</f>
        <v>-989.02766899267056</v>
      </c>
    </row>
    <row r="58" spans="2:13" x14ac:dyDescent="0.3">
      <c r="B58">
        <v>56</v>
      </c>
      <c r="C58">
        <f t="shared" si="0"/>
        <v>-8.1694667628212952E-2</v>
      </c>
      <c r="D58">
        <f>Tableau1[[#This Row],[d1]]-$R$4*SQRT($O$4)</f>
        <v>-0.981694667628213</v>
      </c>
      <c r="E58">
        <f>NORMSDIST(Tableau1[[#This Row],[d1]])</f>
        <v>0.4674447594016175</v>
      </c>
      <c r="F58">
        <f>NORMSDIST(Tableau1[[#This Row],[d2]])</f>
        <v>0.16312514659922014</v>
      </c>
      <c r="G58">
        <f>Tableau1[[#This Row],[P]]*Tableau1[[#This Row],[N(d1)]]-$P$4*EXP(-$N$4*$O$4)*Tableau1[[#This Row],[N(d2)]]</f>
        <v>11.435809790979356</v>
      </c>
      <c r="L58">
        <f>MAX(Tableau1[[#This Row],[P]]-$P$4)-Tableau1[[#This Row],[C]]</f>
        <v>-50.435809790979356</v>
      </c>
      <c r="M58">
        <f xml:space="preserve"> Tableau1[[#This Row],[C]] - 0.5 * (-50) * (Tableau1[[#This Row],[P]] - $P$4)</f>
        <v>-963.56419020902069</v>
      </c>
    </row>
    <row r="59" spans="2:13" x14ac:dyDescent="0.3">
      <c r="B59">
        <v>57</v>
      </c>
      <c r="C59">
        <f t="shared" si="0"/>
        <v>-6.2028470851100782E-2</v>
      </c>
      <c r="D59">
        <f>Tableau1[[#This Row],[d1]]-$R$4*SQRT($O$4)</f>
        <v>-0.96202847085110077</v>
      </c>
      <c r="E59">
        <f>NORMSDIST(Tableau1[[#This Row],[d1]])</f>
        <v>0.47527007959477757</v>
      </c>
      <c r="F59">
        <f>NORMSDIST(Tableau1[[#This Row],[d2]])</f>
        <v>0.16801765129410667</v>
      </c>
      <c r="G59">
        <f>Tableau1[[#This Row],[P]]*Tableau1[[#This Row],[N(d1)]]-$P$4*EXP(-$N$4*$O$4)*Tableau1[[#This Row],[N(d2)]]</f>
        <v>11.907177830989124</v>
      </c>
      <c r="L59">
        <f>MAX(Tableau1[[#This Row],[P]]-$P$4)-Tableau1[[#This Row],[C]]</f>
        <v>-49.907177830989127</v>
      </c>
      <c r="M59">
        <f xml:space="preserve"> Tableau1[[#This Row],[C]] - 0.5 * (-50) * (Tableau1[[#This Row],[P]] - $P$4)</f>
        <v>-938.0928221690109</v>
      </c>
    </row>
    <row r="60" spans="2:13" x14ac:dyDescent="0.3">
      <c r="B60">
        <v>58</v>
      </c>
      <c r="C60">
        <f t="shared" si="0"/>
        <v>-4.2704312282357208E-2</v>
      </c>
      <c r="D60">
        <f>Tableau1[[#This Row],[d1]]-$R$4*SQRT($O$4)</f>
        <v>-0.94270431228235718</v>
      </c>
      <c r="E60">
        <f>NORMSDIST(Tableau1[[#This Row],[d1]])</f>
        <v>0.48296862100160759</v>
      </c>
      <c r="F60">
        <f>NORMSDIST(Tableau1[[#This Row],[d2]])</f>
        <v>0.17291608352111068</v>
      </c>
      <c r="G60">
        <f>Tableau1[[#This Row],[P]]*Tableau1[[#This Row],[N(d1)]]-$P$4*EXP(-$N$4*$O$4)*Tableau1[[#This Row],[N(d2)]]</f>
        <v>12.386307689696407</v>
      </c>
      <c r="L60">
        <f>MAX(Tableau1[[#This Row],[P]]-$P$4)-Tableau1[[#This Row],[C]]</f>
        <v>-49.386307689696409</v>
      </c>
      <c r="M60">
        <f xml:space="preserve"> Tableau1[[#This Row],[C]] - 0.5 * (-50) * (Tableau1[[#This Row],[P]] - $P$4)</f>
        <v>-912.61369231030358</v>
      </c>
    </row>
    <row r="61" spans="2:13" x14ac:dyDescent="0.3">
      <c r="B61">
        <v>59</v>
      </c>
      <c r="C61">
        <f t="shared" si="0"/>
        <v>-2.3710497438690359E-2</v>
      </c>
      <c r="D61">
        <f>Tableau1[[#This Row],[d1]]-$R$4*SQRT($O$4)</f>
        <v>-0.92371049743869038</v>
      </c>
      <c r="E61">
        <f>NORMSDIST(Tableau1[[#This Row],[d1]])</f>
        <v>0.49054176630774893</v>
      </c>
      <c r="F61">
        <f>NORMSDIST(Tableau1[[#This Row],[d2]])</f>
        <v>0.1778185325746551</v>
      </c>
      <c r="G61">
        <f>Tableau1[[#This Row],[P]]*Tableau1[[#This Row],[N(d1)]]-$P$4*EXP(-$N$4*$O$4)*Tableau1[[#This Row],[N(d2)]]</f>
        <v>12.873073273534878</v>
      </c>
      <c r="L61">
        <f>MAX(Tableau1[[#This Row],[P]]-$P$4)-Tableau1[[#This Row],[C]]</f>
        <v>-48.873073273534878</v>
      </c>
      <c r="M61">
        <f xml:space="preserve"> Tableau1[[#This Row],[C]] - 0.5 * (-50) * (Tableau1[[#This Row],[P]] - $P$4)</f>
        <v>-887.12692672646517</v>
      </c>
    </row>
    <row r="62" spans="2:13" x14ac:dyDescent="0.3">
      <c r="B62">
        <v>60</v>
      </c>
      <c r="C62">
        <f t="shared" si="0"/>
        <v>-5.0359215316001888E-3</v>
      </c>
      <c r="D62">
        <f>Tableau1[[#This Row],[d1]]-$R$4*SQRT($O$4)</f>
        <v>-0.90503592153160017</v>
      </c>
      <c r="E62">
        <f>NORMSDIST(Tableau1[[#This Row],[d1]])</f>
        <v>0.49799096647194868</v>
      </c>
      <c r="F62">
        <f>NORMSDIST(Tableau1[[#This Row],[d2]])</f>
        <v>0.18272317859504597</v>
      </c>
      <c r="G62">
        <f>Tableau1[[#This Row],[P]]*Tableau1[[#This Row],[N(d1)]]-$P$4*EXP(-$N$4*$O$4)*Tableau1[[#This Row],[N(d2)]]</f>
        <v>13.367349906615779</v>
      </c>
      <c r="L62">
        <f>MAX(Tableau1[[#This Row],[P]]-$P$4)-Tableau1[[#This Row],[C]]</f>
        <v>-48.367349906615779</v>
      </c>
      <c r="M62">
        <f xml:space="preserve"> Tableau1[[#This Row],[C]] - 0.5 * (-50) * (Tableau1[[#This Row],[P]] - $P$4)</f>
        <v>-861.6326500933842</v>
      </c>
    </row>
    <row r="63" spans="2:13" x14ac:dyDescent="0.3">
      <c r="B63">
        <v>61</v>
      </c>
      <c r="C63">
        <f t="shared" si="0"/>
        <v>1.3329969525300484E-2</v>
      </c>
      <c r="D63">
        <f>Tableau1[[#This Row],[d1]]-$R$4*SQRT($O$4)</f>
        <v>-0.8866700304746995</v>
      </c>
      <c r="E63">
        <f>NORMSDIST(Tableau1[[#This Row],[d1]])</f>
        <v>0.50531773095673138</v>
      </c>
      <c r="F63">
        <f>NORMSDIST(Tableau1[[#This Row],[d2]])</f>
        <v>0.18762828905091447</v>
      </c>
      <c r="G63">
        <f>Tableau1[[#This Row],[P]]*Tableau1[[#This Row],[N(d1)]]-$P$4*EXP(-$N$4*$O$4)*Tableau1[[#This Row],[N(d2)]]</f>
        <v>13.869014394034892</v>
      </c>
      <c r="L63">
        <f>MAX(Tableau1[[#This Row],[P]]-$P$4)-Tableau1[[#This Row],[C]]</f>
        <v>-47.869014394034892</v>
      </c>
      <c r="M63">
        <f xml:space="preserve"> Tableau1[[#This Row],[C]] - 0.5 * (-50) * (Tableau1[[#This Row],[P]] - $P$4)</f>
        <v>-836.13098560596507</v>
      </c>
    </row>
    <row r="64" spans="2:13" x14ac:dyDescent="0.3">
      <c r="B64">
        <v>62</v>
      </c>
      <c r="C64">
        <f t="shared" si="0"/>
        <v>3.1397214938389782E-2</v>
      </c>
      <c r="D64">
        <f>Tableau1[[#This Row],[d1]]-$R$4*SQRT($O$4)</f>
        <v>-0.86860278506161026</v>
      </c>
      <c r="E64">
        <f>NORMSDIST(Tableau1[[#This Row],[d1]])</f>
        <v>0.51252361889248199</v>
      </c>
      <c r="F64">
        <f>NORMSDIST(Tableau1[[#This Row],[d2]])</f>
        <v>0.19253221531628287</v>
      </c>
      <c r="G64">
        <f>Tableau1[[#This Row],[P]]*Tableau1[[#This Row],[N(d1)]]-$P$4*EXP(-$N$4*$O$4)*Tableau1[[#This Row],[N(d2)]]</f>
        <v>14.377945075884131</v>
      </c>
      <c r="L64">
        <f>MAX(Tableau1[[#This Row],[P]]-$P$4)-Tableau1[[#This Row],[C]]</f>
        <v>-47.377945075884128</v>
      </c>
      <c r="M64">
        <f xml:space="preserve"> Tableau1[[#This Row],[C]] - 0.5 * (-50) * (Tableau1[[#This Row],[P]] - $P$4)</f>
        <v>-810.6220549241159</v>
      </c>
    </row>
    <row r="65" spans="2:13" x14ac:dyDescent="0.3">
      <c r="B65">
        <v>63</v>
      </c>
      <c r="C65">
        <f t="shared" si="0"/>
        <v>4.9175371989990911E-2</v>
      </c>
      <c r="D65">
        <f>Tableau1[[#This Row],[d1]]-$R$4*SQRT($O$4)</f>
        <v>-0.85082462801000913</v>
      </c>
      <c r="E65">
        <f>NORMSDIST(Tableau1[[#This Row],[d1]])</f>
        <v>0.51961023108987903</v>
      </c>
      <c r="F65">
        <f>NORMSDIST(Tableau1[[#This Row],[d2]])</f>
        <v>0.1974333893454023</v>
      </c>
      <c r="G65">
        <f>Tableau1[[#This Row],[P]]*Tableau1[[#This Row],[N(d1)]]-$P$4*EXP(-$N$4*$O$4)*Tableau1[[#This Row],[N(d2)]]</f>
        <v>14.894021872858399</v>
      </c>
      <c r="L65">
        <f>MAX(Tableau1[[#This Row],[P]]-$P$4)-Tableau1[[#This Row],[C]]</f>
        <v>-46.894021872858403</v>
      </c>
      <c r="M65">
        <f xml:space="preserve"> Tableau1[[#This Row],[C]] - 0.5 * (-50) * (Tableau1[[#This Row],[P]] - $P$4)</f>
        <v>-785.10597812714161</v>
      </c>
    </row>
    <row r="66" spans="2:13" x14ac:dyDescent="0.3">
      <c r="B66">
        <v>64</v>
      </c>
      <c r="C66">
        <f t="shared" si="0"/>
        <v>6.6673546399034472E-2</v>
      </c>
      <c r="D66">
        <f>Tableau1[[#This Row],[d1]]-$R$4*SQRT($O$4)</f>
        <v>-0.83332645360096558</v>
      </c>
      <c r="E66">
        <f>NORMSDIST(Tableau1[[#This Row],[d1]])</f>
        <v>0.52657920282348125</v>
      </c>
      <c r="F66">
        <f>NORMSDIST(Tableau1[[#This Row],[d2]])</f>
        <v>0.20233032044745672</v>
      </c>
      <c r="G66">
        <f>Tableau1[[#This Row],[P]]*Tableau1[[#This Row],[N(d1)]]-$P$4*EXP(-$N$4*$O$4)*Tableau1[[#This Row],[N(d2)]]</f>
        <v>15.417126324266267</v>
      </c>
      <c r="L66">
        <f>MAX(Tableau1[[#This Row],[P]]-$P$4)-Tableau1[[#This Row],[C]]</f>
        <v>-46.417126324266263</v>
      </c>
      <c r="M66">
        <f xml:space="preserve"> Tableau1[[#This Row],[C]] - 0.5 * (-50) * (Tableau1[[#This Row],[P]] - $P$4)</f>
        <v>-759.58287367573371</v>
      </c>
    </row>
    <row r="67" spans="2:13" x14ac:dyDescent="0.3">
      <c r="B67">
        <v>65</v>
      </c>
      <c r="C67">
        <f t="shared" ref="C67:C130" si="1" xml:space="preserve"> (LN($B67/$P$4) + ($N$4 + ($R$4^2)/2) * $O$4) / ($R$4 * SQRT($O$4))</f>
        <v>8.3900420327884806E-2</v>
      </c>
      <c r="D67">
        <f>Tableau1[[#This Row],[d1]]-$R$4*SQRT($O$4)</f>
        <v>-0.81609957967211522</v>
      </c>
      <c r="E67">
        <f>NORMSDIST(Tableau1[[#This Row],[d1]])</f>
        <v>0.53343219731640645</v>
      </c>
      <c r="F67">
        <f>NORMSDIST(Tableau1[[#This Row],[d2]])</f>
        <v>0.20722159216232713</v>
      </c>
      <c r="G67">
        <f>Tableau1[[#This Row],[P]]*Tableau1[[#This Row],[N(d1)]]-$P$4*EXP(-$N$4*$O$4)*Tableau1[[#This Row],[N(d2)]]</f>
        <v>15.94714161918067</v>
      </c>
      <c r="L67">
        <f>MAX(Tableau1[[#This Row],[P]]-$P$4)-Tableau1[[#This Row],[C]]</f>
        <v>-45.94714161918067</v>
      </c>
      <c r="M67">
        <f xml:space="preserve"> Tableau1[[#This Row],[C]] - 0.5 * (-50) * (Tableau1[[#This Row],[P]] - $P$4)</f>
        <v>-734.05285838081932</v>
      </c>
    </row>
    <row r="68" spans="2:13" x14ac:dyDescent="0.3">
      <c r="B68">
        <v>66</v>
      </c>
      <c r="C68">
        <f t="shared" si="1"/>
        <v>0.10086427825098312</v>
      </c>
      <c r="D68">
        <f>Tableau1[[#This Row],[d1]]-$R$4*SQRT($O$4)</f>
        <v>-0.79913572174901693</v>
      </c>
      <c r="E68">
        <f>NORMSDIST(Tableau1[[#This Row],[d1]])</f>
        <v>0.54017089986248468</v>
      </c>
      <c r="F68">
        <f>NORMSDIST(Tableau1[[#This Row],[d2]])</f>
        <v>0.21210585923786646</v>
      </c>
      <c r="G68">
        <f>Tableau1[[#This Row],[P]]*Tableau1[[#This Row],[N(d1)]]-$P$4*EXP(-$N$4*$O$4)*Tableau1[[#This Row],[N(d2)]]</f>
        <v>16.483952621397798</v>
      </c>
      <c r="L68">
        <f>MAX(Tableau1[[#This Row],[P]]-$P$4)-Tableau1[[#This Row],[C]]</f>
        <v>-45.483952621397798</v>
      </c>
      <c r="M68">
        <f xml:space="preserve"> Tableau1[[#This Row],[C]] - 0.5 * (-50) * (Tableau1[[#This Row],[P]] - $P$4)</f>
        <v>-708.51604737860225</v>
      </c>
    </row>
    <row r="69" spans="2:13" x14ac:dyDescent="0.3">
      <c r="B69">
        <v>67</v>
      </c>
      <c r="C69">
        <f t="shared" si="1"/>
        <v>0.11757303087825022</v>
      </c>
      <c r="D69">
        <f>Tableau1[[#This Row],[d1]]-$R$4*SQRT($O$4)</f>
        <v>-0.7824269691217498</v>
      </c>
      <c r="E69">
        <f>NORMSDIST(Tableau1[[#This Row],[d1]])</f>
        <v>0.54679701252811608</v>
      </c>
      <c r="F69">
        <f>NORMSDIST(Tableau1[[#This Row],[d2]])</f>
        <v>0.21698184470849871</v>
      </c>
      <c r="G69">
        <f>Tableau1[[#This Row],[P]]*Tableau1[[#This Row],[N(d1)]]-$P$4*EXP(-$N$4*$O$4)*Tableau1[[#This Row],[N(d2)]]</f>
        <v>17.027445888812771</v>
      </c>
      <c r="L69">
        <f>MAX(Tableau1[[#This Row],[P]]-$P$4)-Tableau1[[#This Row],[C]]</f>
        <v>-45.027445888812771</v>
      </c>
      <c r="M69">
        <f xml:space="preserve"> Tableau1[[#This Row],[C]] - 0.5 * (-50) * (Tableau1[[#This Row],[P]] - $P$4)</f>
        <v>-682.97255411118726</v>
      </c>
    </row>
    <row r="70" spans="2:13" x14ac:dyDescent="0.3">
      <c r="B70">
        <v>68</v>
      </c>
      <c r="C70">
        <f t="shared" si="1"/>
        <v>0.1340342373061843</v>
      </c>
      <c r="D70">
        <f>Tableau1[[#This Row],[d1]]-$R$4*SQRT($O$4)</f>
        <v>-0.76596576269381567</v>
      </c>
      <c r="E70">
        <f>NORMSDIST(Tableau1[[#This Row],[d1]])</f>
        <v>0.5533122493813466</v>
      </c>
      <c r="F70">
        <f>NORMSDIST(Tableau1[[#This Row],[d2]])</f>
        <v>0.22184833707443524</v>
      </c>
      <c r="G70">
        <f>Tableau1[[#This Row],[P]]*Tableau1[[#This Row],[N(d1)]]-$P$4*EXP(-$N$4*$O$4)*Tableau1[[#This Row],[N(d2)]]</f>
        <v>17.577509687764799</v>
      </c>
      <c r="L70">
        <f>MAX(Tableau1[[#This Row],[P]]-$P$4)-Tableau1[[#This Row],[C]]</f>
        <v>-44.577509687764802</v>
      </c>
      <c r="M70">
        <f xml:space="preserve"> Tableau1[[#This Row],[C]] - 0.5 * (-50) * (Tableau1[[#This Row],[P]] - $P$4)</f>
        <v>-657.42249031223525</v>
      </c>
    </row>
    <row r="71" spans="2:13" x14ac:dyDescent="0.3">
      <c r="B71">
        <v>69</v>
      </c>
      <c r="C71">
        <f t="shared" si="1"/>
        <v>0.15025512555190954</v>
      </c>
      <c r="D71">
        <f>Tableau1[[#This Row],[d1]]-$R$4*SQRT($O$4)</f>
        <v>-0.74974487444809046</v>
      </c>
      <c r="E71">
        <f>NORMSDIST(Tableau1[[#This Row],[d1]])</f>
        <v>0.55971833220046885</v>
      </c>
      <c r="F71">
        <f>NORMSDIST(Tableau1[[#This Row],[d2]])</f>
        <v>0.22670418758036329</v>
      </c>
      <c r="G71">
        <f>Tableau1[[#This Row],[P]]*Tableau1[[#This Row],[N(d1)]]-$P$4*EXP(-$N$4*$O$4)*Tableau1[[#This Row],[N(d2)]]</f>
        <v>18.134034002855113</v>
      </c>
      <c r="L71">
        <f>MAX(Tableau1[[#This Row],[P]]-$P$4)-Tableau1[[#This Row],[C]]</f>
        <v>-44.134034002855117</v>
      </c>
      <c r="M71">
        <f xml:space="preserve"> Tableau1[[#This Row],[C]] - 0.5 * (-50) * (Tableau1[[#This Row],[P]] - $P$4)</f>
        <v>-631.86596599714494</v>
      </c>
    </row>
    <row r="72" spans="2:13" x14ac:dyDescent="0.3">
      <c r="B72">
        <v>70</v>
      </c>
      <c r="C72">
        <f t="shared" si="1"/>
        <v>0.16624261160979789</v>
      </c>
      <c r="D72">
        <f>Tableau1[[#This Row],[d1]]-$R$4*SQRT($O$4)</f>
        <v>-0.7337573883902021</v>
      </c>
      <c r="E72">
        <f>NORMSDIST(Tableau1[[#This Row],[d1]])</f>
        <v>0.56601698661879685</v>
      </c>
      <c r="F72">
        <f>NORMSDIST(Tableau1[[#This Row],[d2]])</f>
        <v>0.2315483075921097</v>
      </c>
      <c r="G72">
        <f>Tableau1[[#This Row],[P]]*Tableau1[[#This Row],[N(d1)]]-$P$4*EXP(-$N$4*$O$4)*Tableau1[[#This Row],[N(d2)]]</f>
        <v>18.696910542694884</v>
      </c>
      <c r="L72">
        <f>MAX(Tableau1[[#This Row],[P]]-$P$4)-Tableau1[[#This Row],[C]]</f>
        <v>-43.69691054269488</v>
      </c>
      <c r="M72">
        <f xml:space="preserve"> Tableau1[[#This Row],[C]] - 0.5 * (-50) * (Tableau1[[#This Row],[P]] - $P$4)</f>
        <v>-606.30308945730508</v>
      </c>
    </row>
    <row r="73" spans="2:13" x14ac:dyDescent="0.3">
      <c r="B73">
        <v>71</v>
      </c>
      <c r="C73">
        <f t="shared" si="1"/>
        <v>0.18200331715641621</v>
      </c>
      <c r="D73">
        <f>Tableau1[[#This Row],[d1]]-$R$4*SQRT($O$4)</f>
        <v>-0.71799668284358376</v>
      </c>
      <c r="E73">
        <f>NORMSDIST(Tableau1[[#This Row],[d1]])</f>
        <v>0.57220993866619407</v>
      </c>
      <c r="F73">
        <f>NORMSDIST(Tableau1[[#This Row],[d2]])</f>
        <v>0.23637966606948815</v>
      </c>
      <c r="G73">
        <f>Tableau1[[#This Row],[P]]*Tableau1[[#This Row],[N(d1)]]-$P$4*EXP(-$N$4*$O$4)*Tableau1[[#This Row],[N(d2)]]</f>
        <v>19.266032741999513</v>
      </c>
      <c r="L73">
        <f>MAX(Tableau1[[#This Row],[P]]-$P$4)-Tableau1[[#This Row],[C]]</f>
        <v>-43.26603274199951</v>
      </c>
      <c r="M73">
        <f xml:space="preserve"> Tableau1[[#This Row],[C]] - 0.5 * (-50) * (Tableau1[[#This Row],[P]] - $P$4)</f>
        <v>-580.73396725800046</v>
      </c>
    </row>
    <row r="74" spans="2:13" x14ac:dyDescent="0.3">
      <c r="B74">
        <v>72</v>
      </c>
      <c r="C74">
        <f t="shared" si="1"/>
        <v>0.19754358601723834</v>
      </c>
      <c r="D74">
        <f>Tableau1[[#This Row],[d1]]-$R$4*SQRT($O$4)</f>
        <v>-0.70245641398276171</v>
      </c>
      <c r="E74">
        <f>NORMSDIST(Tableau1[[#This Row],[d1]])</f>
        <v>0.57829891167150138</v>
      </c>
      <c r="F74">
        <f>NORMSDIST(Tableau1[[#This Row],[d2]])</f>
        <v>0.24119728713330907</v>
      </c>
      <c r="G74">
        <f>Tableau1[[#This Row],[P]]*Tableau1[[#This Row],[N(d1)]]-$P$4*EXP(-$N$4*$O$4)*Tableau1[[#This Row],[N(d2)]]</f>
        <v>19.841295760407746</v>
      </c>
      <c r="L74">
        <f>MAX(Tableau1[[#This Row],[P]]-$P$4)-Tableau1[[#This Row],[C]]</f>
        <v>-42.841295760407746</v>
      </c>
      <c r="M74">
        <f xml:space="preserve"> Tableau1[[#This Row],[C]] - 0.5 * (-50) * (Tableau1[[#This Row],[P]] - $P$4)</f>
        <v>-555.15870423959223</v>
      </c>
    </row>
    <row r="75" spans="2:13" x14ac:dyDescent="0.3">
      <c r="B75">
        <v>73</v>
      </c>
      <c r="C75">
        <f t="shared" si="1"/>
        <v>0.21286949949761139</v>
      </c>
      <c r="D75">
        <f>Tableau1[[#This Row],[d1]]-$R$4*SQRT($O$4)</f>
        <v>-0.68713050050238866</v>
      </c>
      <c r="E75">
        <f>NORMSDIST(Tableau1[[#This Row],[d1]])</f>
        <v>0.58428562349324908</v>
      </c>
      <c r="F75">
        <f>NORMSDIST(Tableau1[[#This Row],[d2]])</f>
        <v>0.24600024772434931</v>
      </c>
      <c r="G75">
        <f>Tableau1[[#This Row],[P]]*Tableau1[[#This Row],[N(d1)]]-$P$4*EXP(-$N$4*$O$4)*Tableau1[[#This Row],[N(d2)]]</f>
        <v>20.422596478369922</v>
      </c>
      <c r="L75">
        <f>MAX(Tableau1[[#This Row],[P]]-$P$4)-Tableau1[[#This Row],[C]]</f>
        <v>-42.422596478369925</v>
      </c>
      <c r="M75">
        <f xml:space="preserve"> Tableau1[[#This Row],[C]] - 0.5 * (-50) * (Tableau1[[#This Row],[P]] - $P$4)</f>
        <v>-529.57740352163012</v>
      </c>
    </row>
    <row r="76" spans="2:13" x14ac:dyDescent="0.3">
      <c r="B76">
        <v>74</v>
      </c>
      <c r="C76">
        <f t="shared" si="1"/>
        <v>0.22798689067069877</v>
      </c>
      <c r="D76">
        <f>Tableau1[[#This Row],[d1]]-$R$4*SQRT($O$4)</f>
        <v>-0.67201310932930125</v>
      </c>
      <c r="E76">
        <f>NORMSDIST(Tableau1[[#This Row],[d1]])</f>
        <v>0.59017178404896287</v>
      </c>
      <c r="F76">
        <f>NORMSDIST(Tableau1[[#This Row],[d2]])</f>
        <v>0.2507876753519333</v>
      </c>
      <c r="G76">
        <f>Tableau1[[#This Row],[P]]*Tableau1[[#This Row],[N(d1)]]-$P$4*EXP(-$N$4*$O$4)*Tableau1[[#This Row],[N(d2)]]</f>
        <v>21.009833490418572</v>
      </c>
      <c r="L76">
        <f>MAX(Tableau1[[#This Row],[P]]-$P$4)-Tableau1[[#This Row],[C]]</f>
        <v>-42.009833490418572</v>
      </c>
      <c r="M76">
        <f xml:space="preserve"> Tableau1[[#This Row],[C]] - 0.5 * (-50) * (Tableau1[[#This Row],[P]] - $P$4)</f>
        <v>-503.9901665095814</v>
      </c>
    </row>
    <row r="77" spans="2:13" x14ac:dyDescent="0.3">
      <c r="B77">
        <v>75</v>
      </c>
      <c r="C77">
        <f t="shared" si="1"/>
        <v>0.24290135770641069</v>
      </c>
      <c r="D77">
        <f>Tableau1[[#This Row],[d1]]-$R$4*SQRT($O$4)</f>
        <v>-0.65709864229358939</v>
      </c>
      <c r="E77">
        <f>NORMSDIST(Tableau1[[#This Row],[d1]])</f>
        <v>0.59595909311604522</v>
      </c>
      <c r="F77">
        <f>NORMSDIST(Tableau1[[#This Row],[d2]])</f>
        <v>0.2555587459296777</v>
      </c>
      <c r="G77">
        <f>Tableau1[[#This Row],[P]]*Tableau1[[#This Row],[N(d1)]]-$P$4*EXP(-$N$4*$O$4)*Tableau1[[#This Row],[N(d2)]]</f>
        <v>21.6029070961063</v>
      </c>
      <c r="L77">
        <f>MAX(Tableau1[[#This Row],[P]]-$P$4)-Tableau1[[#This Row],[C]]</f>
        <v>-41.6029070961063</v>
      </c>
      <c r="M77">
        <f xml:space="preserve"> Tableau1[[#This Row],[C]] - 0.5 * (-50) * (Tableau1[[#This Row],[P]] - $P$4)</f>
        <v>-478.39709290389368</v>
      </c>
    </row>
    <row r="78" spans="2:13" x14ac:dyDescent="0.3">
      <c r="B78">
        <v>76</v>
      </c>
      <c r="C78">
        <f t="shared" si="1"/>
        <v>0.2576182763175448</v>
      </c>
      <c r="D78">
        <f>Tableau1[[#This Row],[d1]]-$R$4*SQRT($O$4)</f>
        <v>-0.64238172368245516</v>
      </c>
      <c r="E78">
        <f>NORMSDIST(Tableau1[[#This Row],[d1]])</f>
        <v>0.60164923837962192</v>
      </c>
      <c r="F78">
        <f>NORMSDIST(Tableau1[[#This Row],[d2]])</f>
        <v>0.26031268169587324</v>
      </c>
      <c r="G78">
        <f>Tableau1[[#This Row],[P]]*Tableau1[[#This Row],[N(d1)]]-$P$4*EXP(-$N$4*$O$4)*Tableau1[[#This Row],[N(d2)]]</f>
        <v>22.201719288869977</v>
      </c>
      <c r="L78">
        <f>MAX(Tableau1[[#This Row],[P]]-$P$4)-Tableau1[[#This Row],[C]]</f>
        <v>-41.201719288869981</v>
      </c>
      <c r="M78">
        <f xml:space="preserve"> Tableau1[[#This Row],[C]] - 0.5 * (-50) * (Tableau1[[#This Row],[P]] - $P$4)</f>
        <v>-452.79828071113002</v>
      </c>
    </row>
    <row r="79" spans="2:13" x14ac:dyDescent="0.3">
      <c r="B79">
        <v>77</v>
      </c>
      <c r="C79">
        <f t="shared" si="1"/>
        <v>0.27214281139238111</v>
      </c>
      <c r="D79">
        <f>Tableau1[[#This Row],[d1]]-$R$4*SQRT($O$4)</f>
        <v>-0.62785718860761897</v>
      </c>
      <c r="E79">
        <f>NORMSDIST(Tableau1[[#This Row],[d1]])</f>
        <v>0.60724389370494491</v>
      </c>
      <c r="F79">
        <f>NORMSDIST(Tableau1[[#This Row],[d2]])</f>
        <v>0.26504874921593125</v>
      </c>
      <c r="G79">
        <f>Tableau1[[#This Row],[P]]*Tableau1[[#This Row],[N(d1)]]-$P$4*EXP(-$N$4*$O$4)*Tableau1[[#This Row],[N(d2)]]</f>
        <v>22.806173743056842</v>
      </c>
      <c r="L79">
        <f>MAX(Tableau1[[#This Row],[P]]-$P$4)-Tableau1[[#This Row],[C]]</f>
        <v>-40.806173743056846</v>
      </c>
      <c r="M79">
        <f xml:space="preserve"> Tableau1[[#This Row],[C]] - 0.5 * (-50) * (Tableau1[[#This Row],[P]] - $P$4)</f>
        <v>-427.19382625694317</v>
      </c>
    </row>
    <row r="80" spans="2:13" x14ac:dyDescent="0.3">
      <c r="B80">
        <v>78</v>
      </c>
      <c r="C80">
        <f t="shared" si="1"/>
        <v>0.28647992787672322</v>
      </c>
      <c r="D80">
        <f>Tableau1[[#This Row],[d1]]-$R$4*SQRT($O$4)</f>
        <v>-0.61352007212327675</v>
      </c>
      <c r="E80">
        <f>NORMSDIST(Tableau1[[#This Row],[d1]])</f>
        <v>0.61274471761393157</v>
      </c>
      <c r="F80">
        <f>NORMSDIST(Tableau1[[#This Row],[d2]])</f>
        <v>0.26976625746429606</v>
      </c>
      <c r="G80">
        <f>Tableau1[[#This Row],[P]]*Tableau1[[#This Row],[N(d1)]]-$P$4*EXP(-$N$4*$O$4)*Tableau1[[#This Row],[N(d2)]]</f>
        <v>23.416175799326652</v>
      </c>
      <c r="L80">
        <f>MAX(Tableau1[[#This Row],[P]]-$P$4)-Tableau1[[#This Row],[C]]</f>
        <v>-40.416175799326652</v>
      </c>
      <c r="M80">
        <f xml:space="preserve"> Tableau1[[#This Row],[C]] - 0.5 * (-50) * (Tableau1[[#This Row],[P]] - $P$4)</f>
        <v>-401.58382420067335</v>
      </c>
    </row>
    <row r="81" spans="2:13" x14ac:dyDescent="0.3">
      <c r="B81">
        <v>79</v>
      </c>
      <c r="C81">
        <f t="shared" si="1"/>
        <v>0.30063440096275634</v>
      </c>
      <c r="D81">
        <f>Tableau1[[#This Row],[d1]]-$R$4*SQRT($O$4)</f>
        <v>-0.59936559903724373</v>
      </c>
      <c r="E81">
        <f>NORMSDIST(Tableau1[[#This Row],[d1]])</f>
        <v>0.61815335194723453</v>
      </c>
      <c r="F81">
        <f>NORMSDIST(Tableau1[[#This Row],[d2]])</f>
        <v>0.27446455598321351</v>
      </c>
      <c r="G81">
        <f>Tableau1[[#This Row],[P]]*Tableau1[[#This Row],[N(d1)]]-$P$4*EXP(-$N$4*$O$4)*Tableau1[[#This Row],[N(d2)]]</f>
        <v>24.031632448624688</v>
      </c>
      <c r="L81">
        <f>MAX(Tableau1[[#This Row],[P]]-$P$4)-Tableau1[[#This Row],[C]]</f>
        <v>-40.031632448624691</v>
      </c>
      <c r="M81">
        <f xml:space="preserve"> Tableau1[[#This Row],[C]] - 0.5 * (-50) * (Tableau1[[#This Row],[P]] - $P$4)</f>
        <v>-375.96836755137531</v>
      </c>
    </row>
    <row r="82" spans="2:13" x14ac:dyDescent="0.3">
      <c r="B82">
        <v>80</v>
      </c>
      <c r="C82">
        <f t="shared" si="1"/>
        <v>0.31461082563704523</v>
      </c>
      <c r="D82">
        <f>Tableau1[[#This Row],[d1]]-$R$4*SQRT($O$4)</f>
        <v>-0.58538917436295479</v>
      </c>
      <c r="E82">
        <f>NORMSDIST(Tableau1[[#This Row],[d1]])</f>
        <v>0.62347142069488315</v>
      </c>
      <c r="F82">
        <f>NORMSDIST(Tableau1[[#This Row],[d2]])</f>
        <v>0.27914303311575872</v>
      </c>
      <c r="G82">
        <f>Tableau1[[#This Row],[P]]*Tableau1[[#This Row],[N(d1)]]-$P$4*EXP(-$N$4*$O$4)*Tableau1[[#This Row],[N(d2)]]</f>
        <v>24.652452314902398</v>
      </c>
      <c r="L82">
        <f>MAX(Tableau1[[#This Row],[P]]-$P$4)-Tableau1[[#This Row],[C]]</f>
        <v>-39.652452314902398</v>
      </c>
      <c r="M82">
        <f xml:space="preserve"> Tableau1[[#This Row],[C]] - 0.5 * (-50) * (Tableau1[[#This Row],[P]] - $P$4)</f>
        <v>-350.3475476850976</v>
      </c>
    </row>
    <row r="83" spans="2:13" x14ac:dyDescent="0.3">
      <c r="B83">
        <v>81</v>
      </c>
      <c r="C83">
        <f t="shared" si="1"/>
        <v>0.32841362563544213</v>
      </c>
      <c r="D83">
        <f>Tableau1[[#This Row],[d1]]-$R$4*SQRT($O$4)</f>
        <v>-0.57158637436455795</v>
      </c>
      <c r="E83">
        <f>NORMSDIST(Tableau1[[#This Row],[d1]])</f>
        <v>0.6287005289800367</v>
      </c>
      <c r="F83">
        <f>NORMSDIST(Tableau1[[#This Row],[d2]])</f>
        <v>0.28380111431054234</v>
      </c>
      <c r="G83">
        <f>Tableau1[[#This Row],[P]]*Tableau1[[#This Row],[N(d1)]]-$P$4*EXP(-$N$4*$O$4)*Tableau1[[#This Row],[N(d2)]]</f>
        <v>25.278545636746511</v>
      </c>
      <c r="L83">
        <f>MAX(Tableau1[[#This Row],[P]]-$P$4)-Tableau1[[#This Row],[C]]</f>
        <v>-39.278545636746514</v>
      </c>
      <c r="M83">
        <f xml:space="preserve"> Tableau1[[#This Row],[C]] - 0.5 * (-50) * (Tableau1[[#This Row],[P]] - $P$4)</f>
        <v>-324.72145436325349</v>
      </c>
    </row>
    <row r="84" spans="2:13" x14ac:dyDescent="0.3">
      <c r="B84">
        <v>82</v>
      </c>
      <c r="C84">
        <f t="shared" si="1"/>
        <v>0.34204706184856926</v>
      </c>
      <c r="D84">
        <f>Tableau1[[#This Row],[d1]]-$R$4*SQRT($O$4)</f>
        <v>-0.55795293815143077</v>
      </c>
      <c r="E84">
        <f>NORMSDIST(Tableau1[[#This Row],[d1]])</f>
        <v>0.63384226218174877</v>
      </c>
      <c r="F84">
        <f>NORMSDIST(Tableau1[[#This Row],[d2]])</f>
        <v>0.28843826049554783</v>
      </c>
      <c r="G84">
        <f>Tableau1[[#This Row],[P]]*Tableau1[[#This Row],[N(d1)]]-$P$4*EXP(-$N$4*$O$4)*Tableau1[[#This Row],[N(d2)]]</f>
        <v>25.909824248062534</v>
      </c>
      <c r="L84">
        <f>MAX(Tableau1[[#This Row],[P]]-$P$4)-Tableau1[[#This Row],[C]]</f>
        <v>-38.909824248062534</v>
      </c>
      <c r="M84">
        <f xml:space="preserve"> Tableau1[[#This Row],[C]] - 0.5 * (-50) * (Tableau1[[#This Row],[P]] - $P$4)</f>
        <v>-299.09017575193747</v>
      </c>
    </row>
    <row r="85" spans="2:13" x14ac:dyDescent="0.3">
      <c r="B85">
        <v>83</v>
      </c>
      <c r="C85">
        <f t="shared" si="1"/>
        <v>0.35551524021784126</v>
      </c>
      <c r="D85">
        <f>Tableau1[[#This Row],[d1]]-$R$4*SQRT($O$4)</f>
        <v>-0.54448475978215871</v>
      </c>
      <c r="E85">
        <f>NORMSDIST(Tableau1[[#This Row],[d1]])</f>
        <v>0.63889818518388786</v>
      </c>
      <c r="F85">
        <f>NORMSDIST(Tableau1[[#This Row],[d2]])</f>
        <v>0.29305396651859306</v>
      </c>
      <c r="G85">
        <f>Tableau1[[#This Row],[P]]*Tableau1[[#This Row],[N(d1)]]-$P$4*EXP(-$N$4*$O$4)*Tableau1[[#This Row],[N(d2)]]</f>
        <v>26.546201557945082</v>
      </c>
      <c r="L85">
        <f>MAX(Tableau1[[#This Row],[P]]-$P$4)-Tableau1[[#This Row],[C]]</f>
        <v>-38.546201557945082</v>
      </c>
      <c r="M85">
        <f xml:space="preserve"> Tableau1[[#This Row],[C]] - 0.5 * (-50) * (Tableau1[[#This Row],[P]] - $P$4)</f>
        <v>-273.4537984420549</v>
      </c>
    </row>
    <row r="86" spans="2:13" x14ac:dyDescent="0.3">
      <c r="B86">
        <v>84</v>
      </c>
      <c r="C86">
        <f t="shared" si="1"/>
        <v>0.36882211915863644</v>
      </c>
      <c r="D86">
        <f>Tableau1[[#This Row],[d1]]-$R$4*SQRT($O$4)</f>
        <v>-0.53117788084136364</v>
      </c>
      <c r="E86">
        <f>NORMSDIST(Tableau1[[#This Row],[d1]])</f>
        <v>0.64386984173848427</v>
      </c>
      <c r="F86">
        <f>NORMSDIST(Tableau1[[#This Row],[d2]])</f>
        <v>0.29764775965195556</v>
      </c>
      <c r="G86">
        <f>Tableau1[[#This Row],[P]]*Tableau1[[#This Row],[N(d1)]]-$P$4*EXP(-$N$4*$O$4)*Tableau1[[#This Row],[N(d2)]]</f>
        <v>27.187592529855308</v>
      </c>
      <c r="L86">
        <f>MAX(Tableau1[[#This Row],[P]]-$P$4)-Tableau1[[#This Row],[C]]</f>
        <v>-38.187592529855308</v>
      </c>
      <c r="M86">
        <f xml:space="preserve"> Tableau1[[#This Row],[C]] - 0.5 * (-50) * (Tableau1[[#This Row],[P]] - $P$4)</f>
        <v>-247.81240747014471</v>
      </c>
    </row>
    <row r="87" spans="2:13" x14ac:dyDescent="0.3">
      <c r="B87">
        <v>85</v>
      </c>
      <c r="C87">
        <f t="shared" si="1"/>
        <v>0.38197151654419514</v>
      </c>
      <c r="D87">
        <f>Tableau1[[#This Row],[d1]]-$R$4*SQRT($O$4)</f>
        <v>-0.51802848345580488</v>
      </c>
      <c r="E87">
        <f>NORMSDIST(Tableau1[[#This Row],[d1]])</f>
        <v>0.6487587539328028</v>
      </c>
      <c r="F87">
        <f>NORMSDIST(Tableau1[[#This Row],[d2]])</f>
        <v>0.30221919815875525</v>
      </c>
      <c r="G87">
        <f>Tableau1[[#This Row],[P]]*Tableau1[[#This Row],[N(d1)]]-$P$4*EXP(-$N$4*$O$4)*Tableau1[[#This Row],[N(d2)]]</f>
        <v>27.833913660214339</v>
      </c>
      <c r="L87">
        <f>MAX(Tableau1[[#This Row],[P]]-$P$4)-Tableau1[[#This Row],[C]]</f>
        <v>-37.833913660214336</v>
      </c>
      <c r="M87">
        <f xml:space="preserve"> Tableau1[[#This Row],[C]] - 0.5 * (-50) * (Tableau1[[#This Row],[P]] - $P$4)</f>
        <v>-222.16608633978566</v>
      </c>
    </row>
    <row r="88" spans="2:13" x14ac:dyDescent="0.3">
      <c r="B88">
        <v>86</v>
      </c>
      <c r="C88">
        <f t="shared" si="1"/>
        <v>0.39496711628107439</v>
      </c>
      <c r="D88">
        <f>Tableau1[[#This Row],[d1]]-$R$4*SQRT($O$4)</f>
        <v>-0.50503288371892563</v>
      </c>
      <c r="E88">
        <f>NORMSDIST(Tableau1[[#This Row],[d1]])</f>
        <v>0.65356642175038027</v>
      </c>
      <c r="F88">
        <f>NORMSDIST(Tableau1[[#This Row],[d2]])</f>
        <v>0.30676786991874383</v>
      </c>
      <c r="G88">
        <f>Tableau1[[#This Row],[P]]*Tableau1[[#This Row],[N(d1)]]-$P$4*EXP(-$N$4*$O$4)*Tableau1[[#This Row],[N(d2)]]</f>
        <v>28.485082956511629</v>
      </c>
      <c r="L88">
        <f>MAX(Tableau1[[#This Row],[P]]-$P$4)-Tableau1[[#This Row],[C]]</f>
        <v>-37.485082956511633</v>
      </c>
      <c r="M88">
        <f xml:space="preserve"> Tableau1[[#This Row],[C]] - 0.5 * (-50) * (Tableau1[[#This Row],[P]] - $P$4)</f>
        <v>-196.51491704348837</v>
      </c>
    </row>
    <row r="89" spans="2:13" x14ac:dyDescent="0.3">
      <c r="B89">
        <v>87</v>
      </c>
      <c r="C89">
        <f t="shared" si="1"/>
        <v>0.40781247450449204</v>
      </c>
      <c r="D89">
        <f>Tableau1[[#This Row],[d1]]-$R$4*SQRT($O$4)</f>
        <v>-0.49218752549550798</v>
      </c>
      <c r="E89">
        <f>NORMSDIST(Tableau1[[#This Row],[d1]])</f>
        <v>0.65829432271711652</v>
      </c>
      <c r="F89">
        <f>NORMSDIST(Tableau1[[#This Row],[d2]])</f>
        <v>0.31129339111121435</v>
      </c>
      <c r="G89">
        <f>Tableau1[[#This Row],[P]]*Tableau1[[#This Row],[N(d1)]]-$P$4*EXP(-$N$4*$O$4)*Tableau1[[#This Row],[N(d2)]]</f>
        <v>29.141019915017512</v>
      </c>
      <c r="L89">
        <f>MAX(Tableau1[[#This Row],[P]]-$P$4)-Tableau1[[#This Row],[C]]</f>
        <v>-37.141019915017509</v>
      </c>
      <c r="M89">
        <f xml:space="preserve"> Tableau1[[#This Row],[C]] - 0.5 * (-50) * (Tableau1[[#This Row],[P]] - $P$4)</f>
        <v>-170.85898008498248</v>
      </c>
    </row>
    <row r="90" spans="2:13" x14ac:dyDescent="0.3">
      <c r="B90">
        <v>88</v>
      </c>
      <c r="C90">
        <f t="shared" si="1"/>
        <v>0.42051102541962843</v>
      </c>
      <c r="D90">
        <f>Tableau1[[#This Row],[d1]]-$R$4*SQRT($O$4)</f>
        <v>-0.4794889745803716</v>
      </c>
      <c r="E90">
        <f>NORMSDIST(Tableau1[[#This Row],[d1]])</f>
        <v>0.66294391162429078</v>
      </c>
      <c r="F90">
        <f>NORMSDIST(Tableau1[[#This Row],[d2]])</f>
        <v>0.31579540495280578</v>
      </c>
      <c r="G90">
        <f>Tableau1[[#This Row],[P]]*Tableau1[[#This Row],[N(d1)]]-$P$4*EXP(-$N$4*$O$4)*Tableau1[[#This Row],[N(d2)]]</f>
        <v>29.801645498180989</v>
      </c>
      <c r="L90">
        <f>MAX(Tableau1[[#This Row],[P]]-$P$4)-Tableau1[[#This Row],[C]]</f>
        <v>-36.801645498180989</v>
      </c>
      <c r="M90">
        <f xml:space="preserve"> Tableau1[[#This Row],[C]] - 0.5 * (-50) * (Tableau1[[#This Row],[P]] - $P$4)</f>
        <v>-145.19835450181901</v>
      </c>
    </row>
    <row r="91" spans="2:13" x14ac:dyDescent="0.3">
      <c r="B91">
        <v>89</v>
      </c>
      <c r="C91">
        <f t="shared" si="1"/>
        <v>0.43306608681288783</v>
      </c>
      <c r="D91">
        <f>Tableau1[[#This Row],[d1]]-$R$4*SQRT($O$4)</f>
        <v>-0.46693391318711219</v>
      </c>
      <c r="E91">
        <f>NORMSDIST(Tableau1[[#This Row],[d1]])</f>
        <v>0.6675166203210805</v>
      </c>
      <c r="F91">
        <f>NORMSDIST(Tableau1[[#This Row],[d2]])</f>
        <v>0.32027358048804261</v>
      </c>
      <c r="G91">
        <f>Tableau1[[#This Row],[P]]*Tableau1[[#This Row],[N(d1)]]-$P$4*EXP(-$N$4*$O$4)*Tableau1[[#This Row],[N(d2)]]</f>
        <v>30.466882111785896</v>
      </c>
      <c r="L91">
        <f>MAX(Tableau1[[#This Row],[P]]-$P$4)-Tableau1[[#This Row],[C]]</f>
        <v>-36.466882111785893</v>
      </c>
      <c r="M91">
        <f xml:space="preserve"> Tableau1[[#This Row],[C]] - 0.5 * (-50) * (Tableau1[[#This Row],[P]] - $P$4)</f>
        <v>-119.53311788821411</v>
      </c>
    </row>
    <row r="92" spans="2:13" x14ac:dyDescent="0.3">
      <c r="B92">
        <v>90</v>
      </c>
      <c r="C92">
        <f t="shared" si="1"/>
        <v>0.4454808652552491</v>
      </c>
      <c r="D92">
        <f>Tableau1[[#This Row],[d1]]-$R$4*SQRT($O$4)</f>
        <v>-0.45451913474475092</v>
      </c>
      <c r="E92">
        <f>NORMSDIST(Tableau1[[#This Row],[d1]])</f>
        <v>0.67201385756981113</v>
      </c>
      <c r="F92">
        <f>NORMSDIST(Tableau1[[#This Row],[d2]])</f>
        <v>0.32472761143051831</v>
      </c>
      <c r="G92">
        <f>Tableau1[[#This Row],[P]]*Tableau1[[#This Row],[N(d1)]]-$P$4*EXP(-$N$4*$O$4)*Tableau1[[#This Row],[N(d2)]]</f>
        <v>31.13665358193138</v>
      </c>
      <c r="L92">
        <f>MAX(Tableau1[[#This Row],[P]]-$P$4)-Tableau1[[#This Row],[C]]</f>
        <v>-36.136653581931384</v>
      </c>
      <c r="M92">
        <f xml:space="preserve"> Tableau1[[#This Row],[C]] - 0.5 * (-50) * (Tableau1[[#This Row],[P]] - $P$4)</f>
        <v>-93.863346418068616</v>
      </c>
    </row>
    <row r="93" spans="2:13" x14ac:dyDescent="0.3">
      <c r="B93">
        <v>91</v>
      </c>
      <c r="C93">
        <f t="shared" si="1"/>
        <v>0.45775846101812134</v>
      </c>
      <c r="D93">
        <f>Tableau1[[#This Row],[d1]]-$R$4*SQRT($O$4)</f>
        <v>-0.44224153898187868</v>
      </c>
      <c r="E93">
        <f>NORMSDIST(Tableau1[[#This Row],[d1]])</f>
        <v>0.67643700895775638</v>
      </c>
      <c r="F93">
        <f>NORMSDIST(Tableau1[[#This Row],[d2]])</f>
        <v>0.32915721505269668</v>
      </c>
      <c r="G93">
        <f>Tableau1[[#This Row],[P]]*Tableau1[[#This Row],[N(d1)]]-$P$4*EXP(-$N$4*$O$4)*Tableau1[[#This Row],[N(d2)]]</f>
        <v>31.810885131896562</v>
      </c>
      <c r="L93">
        <f>MAX(Tableau1[[#This Row],[P]]-$P$4)-Tableau1[[#This Row],[C]]</f>
        <v>-35.810885131896562</v>
      </c>
      <c r="M93">
        <f xml:space="preserve"> Tableau1[[#This Row],[C]] - 0.5 * (-50) * (Tableau1[[#This Row],[P]] - $P$4)</f>
        <v>-68.189114868103445</v>
      </c>
    </row>
    <row r="94" spans="2:13" x14ac:dyDescent="0.3">
      <c r="B94">
        <v>92</v>
      </c>
      <c r="C94">
        <f t="shared" si="1"/>
        <v>0.469901872720555</v>
      </c>
      <c r="D94">
        <f>Tableau1[[#This Row],[d1]]-$R$4*SQRT($O$4)</f>
        <v>-0.43009812727944502</v>
      </c>
      <c r="E94">
        <f>NORMSDIST(Tableau1[[#This Row],[d1]])</f>
        <v>0.68078743685984311</v>
      </c>
      <c r="F94">
        <f>NORMSDIST(Tableau1[[#This Row],[d2]])</f>
        <v>0.33356213112237226</v>
      </c>
      <c r="G94">
        <f>Tableau1[[#This Row],[P]]*Tableau1[[#This Row],[N(d1)]]-$P$4*EXP(-$N$4*$O$4)*Tableau1[[#This Row],[N(d2)]]</f>
        <v>32.489503358942805</v>
      </c>
      <c r="L94">
        <f>MAX(Tableau1[[#This Row],[P]]-$P$4)-Tableau1[[#This Row],[C]]</f>
        <v>-35.489503358942805</v>
      </c>
      <c r="M94">
        <f xml:space="preserve"> Tableau1[[#This Row],[C]] - 0.5 * (-50) * (Tableau1[[#This Row],[P]] - $P$4)</f>
        <v>-42.510496641057195</v>
      </c>
    </row>
    <row r="95" spans="2:13" x14ac:dyDescent="0.3">
      <c r="B95">
        <v>93</v>
      </c>
      <c r="C95">
        <f t="shared" si="1"/>
        <v>0.48191400172523902</v>
      </c>
      <c r="D95">
        <f>Tableau1[[#This Row],[d1]]-$R$4*SQRT($O$4)</f>
        <v>-0.41808599827476101</v>
      </c>
      <c r="E95">
        <f>NORMSDIST(Tableau1[[#This Row],[d1]])</f>
        <v>0.68506648044711405</v>
      </c>
      <c r="F95">
        <f>NORMSDIST(Tableau1[[#This Row],[d2]])</f>
        <v>0.33794212088390074</v>
      </c>
      <c r="G95">
        <f>Tableau1[[#This Row],[P]]*Tableau1[[#This Row],[N(d1)]]-$P$4*EXP(-$N$4*$O$4)*Tableau1[[#This Row],[N(d2)]]</f>
        <v>33.17243621110196</v>
      </c>
      <c r="L95">
        <f>MAX(Tableau1[[#This Row],[P]]-$P$4)-Tableau1[[#This Row],[C]]</f>
        <v>-35.17243621110196</v>
      </c>
      <c r="M95">
        <f xml:space="preserve"> Tableau1[[#This Row],[C]] - 0.5 * (-50) * (Tableau1[[#This Row],[P]] - $P$4)</f>
        <v>-16.82756378889804</v>
      </c>
    </row>
    <row r="96" spans="2:13" x14ac:dyDescent="0.3">
      <c r="B96">
        <v>94</v>
      </c>
      <c r="C96">
        <f t="shared" si="1"/>
        <v>0.49379765629940336</v>
      </c>
      <c r="D96">
        <f>Tableau1[[#This Row],[d1]]-$R$4*SQRT($O$4)</f>
        <v>-0.40620234370059666</v>
      </c>
      <c r="E96">
        <f>NORMSDIST(Tableau1[[#This Row],[d1]])</f>
        <v>0.68927545573624804</v>
      </c>
      <c r="F96">
        <f>NORMSDIST(Tableau1[[#This Row],[d2]])</f>
        <v>0.34229696608237381</v>
      </c>
      <c r="G96">
        <f>Tableau1[[#This Row],[P]]*Tableau1[[#This Row],[N(d1)]]-$P$4*EXP(-$N$4*$O$4)*Tableau1[[#This Row],[N(d2)]]</f>
        <v>33.859612963994024</v>
      </c>
      <c r="L96">
        <f>MAX(Tableau1[[#This Row],[P]]-$P$4)-Tableau1[[#This Row],[C]]</f>
        <v>-34.859612963994024</v>
      </c>
      <c r="M96">
        <f xml:space="preserve"> Tableau1[[#This Row],[C]] - 0.5 * (-50) * (Tableau1[[#This Row],[P]] - $P$4)</f>
        <v>8.8596129639940244</v>
      </c>
    </row>
    <row r="97" spans="2:13" x14ac:dyDescent="0.3">
      <c r="B97">
        <v>95</v>
      </c>
      <c r="C97">
        <f t="shared" si="1"/>
        <v>0.50555555555555554</v>
      </c>
      <c r="D97">
        <f>Tableau1[[#This Row],[d1]]-$R$4*SQRT($O$4)</f>
        <v>-0.39444444444444449</v>
      </c>
      <c r="E97">
        <f>NORMSDIST(Tableau1[[#This Row],[d1]])</f>
        <v>0.6934156556758464</v>
      </c>
      <c r="F97">
        <f>NORMSDIST(Tableau1[[#This Row],[d2]])</f>
        <v>0.34662646802897856</v>
      </c>
      <c r="G97">
        <f>Tableau1[[#This Row],[P]]*Tableau1[[#This Row],[N(d1)]]-$P$4*EXP(-$N$4*$O$4)*Tableau1[[#This Row],[N(d2)]]</f>
        <v>34.550964197712965</v>
      </c>
      <c r="L97">
        <f>MAX(Tableau1[[#This Row],[P]]-$P$4)-Tableau1[[#This Row],[C]]</f>
        <v>-34.550964197712965</v>
      </c>
      <c r="M97">
        <f xml:space="preserve"> Tableau1[[#This Row],[C]] - 0.5 * (-50) * (Tableau1[[#This Row],[P]] - $P$4)</f>
        <v>34.550964197712965</v>
      </c>
    </row>
    <row r="98" spans="2:13" x14ac:dyDescent="0.3">
      <c r="B98">
        <v>96</v>
      </c>
      <c r="C98">
        <f t="shared" si="1"/>
        <v>0.51719033318588381</v>
      </c>
      <c r="D98">
        <f>Tableau1[[#This Row],[d1]]-$R$4*SQRT($O$4)</f>
        <v>-0.38280966681411621</v>
      </c>
      <c r="E98">
        <f>NORMSDIST(Tableau1[[#This Row],[d1]])</f>
        <v>0.6974883502655761</v>
      </c>
      <c r="F98">
        <f>NORMSDIST(Tableau1[[#This Row],[d2]])</f>
        <v>0.35093044670585016</v>
      </c>
      <c r="G98">
        <f>Tableau1[[#This Row],[P]]*Tableau1[[#This Row],[N(d1)]]-$P$4*EXP(-$N$4*$O$4)*Tableau1[[#This Row],[N(d2)]]</f>
        <v>35.246421773815797</v>
      </c>
      <c r="L98">
        <f>MAX(Tableau1[[#This Row],[P]]-$P$4)-Tableau1[[#This Row],[C]]</f>
        <v>-34.246421773815797</v>
      </c>
      <c r="M98">
        <f xml:space="preserve"> Tableau1[[#This Row],[C]] - 0.5 * (-50) * (Tableau1[[#This Row],[P]] - $P$4)</f>
        <v>60.246421773815797</v>
      </c>
    </row>
    <row r="99" spans="2:13" x14ac:dyDescent="0.3">
      <c r="B99">
        <v>97</v>
      </c>
      <c r="C99">
        <f t="shared" si="1"/>
        <v>0.52870454100315789</v>
      </c>
      <c r="D99">
        <f>Tableau1[[#This Row],[d1]]-$R$4*SQRT($O$4)</f>
        <v>-0.37129545899684213</v>
      </c>
      <c r="E99">
        <f>NORMSDIST(Tableau1[[#This Row],[d1]])</f>
        <v>0.70149478670459475</v>
      </c>
      <c r="F99">
        <f>NORMSDIST(Tableau1[[#This Row],[d2]])</f>
        <v>0.3552087399087841</v>
      </c>
      <c r="G99">
        <f>Tableau1[[#This Row],[P]]*Tableau1[[#This Row],[N(d1)]]-$P$4*EXP(-$N$4*$O$4)*Tableau1[[#This Row],[N(d2)]]</f>
        <v>35.945918812445321</v>
      </c>
      <c r="L99">
        <f>MAX(Tableau1[[#This Row],[P]]-$P$4)-Tableau1[[#This Row],[C]]</f>
        <v>-33.945918812445321</v>
      </c>
      <c r="M99">
        <f xml:space="preserve"> Tableau1[[#This Row],[C]] - 0.5 * (-50) * (Tableau1[[#This Row],[P]] - $P$4)</f>
        <v>85.945918812445314</v>
      </c>
    </row>
    <row r="100" spans="2:13" x14ac:dyDescent="0.3">
      <c r="B100">
        <v>98</v>
      </c>
      <c r="C100">
        <f t="shared" si="1"/>
        <v>0.54010065230003468</v>
      </c>
      <c r="D100">
        <f>Tableau1[[#This Row],[d1]]-$R$4*SQRT($O$4)</f>
        <v>-0.35989934769996534</v>
      </c>
      <c r="E100">
        <f>NORMSDIST(Tableau1[[#This Row],[d1]])</f>
        <v>0.70543618956600462</v>
      </c>
      <c r="F100">
        <f>NORMSDIST(Tableau1[[#This Row],[d2]])</f>
        <v>0.3594612024262398</v>
      </c>
      <c r="G100">
        <f>Tableau1[[#This Row],[P]]*Tableau1[[#This Row],[N(d1)]]-$P$4*EXP(-$N$4*$O$4)*Tableau1[[#This Row],[N(d2)]]</f>
        <v>36.649389669615012</v>
      </c>
      <c r="L100">
        <f>MAX(Tableau1[[#This Row],[P]]-$P$4)-Tableau1[[#This Row],[C]]</f>
        <v>-33.649389669615012</v>
      </c>
      <c r="M100">
        <f xml:space="preserve"> Tableau1[[#This Row],[C]] - 0.5 * (-50) * (Tableau1[[#This Row],[P]] - $P$4)</f>
        <v>111.649389669615</v>
      </c>
    </row>
    <row r="101" spans="2:13" x14ac:dyDescent="0.3">
      <c r="B101">
        <v>99</v>
      </c>
      <c r="C101">
        <f t="shared" si="1"/>
        <v>0.55138106503783224</v>
      </c>
      <c r="D101">
        <f>Tableau1[[#This Row],[d1]]-$R$4*SQRT($O$4)</f>
        <v>-0.34861893496216778</v>
      </c>
      <c r="E101">
        <f>NORMSDIST(Tableau1[[#This Row],[d1]])</f>
        <v>0.70931376099436405</v>
      </c>
      <c r="F101">
        <f>NORMSDIST(Tableau1[[#This Row],[d2]])</f>
        <v>0.36368770525312832</v>
      </c>
      <c r="G101">
        <f>Tableau1[[#This Row],[P]]*Tableau1[[#This Row],[N(d1)]]-$P$4*EXP(-$N$4*$O$4)*Tableau1[[#This Row],[N(d2)]]</f>
        <v>37.356769914679781</v>
      </c>
      <c r="L101">
        <f>MAX(Tableau1[[#This Row],[P]]-$P$4)-Tableau1[[#This Row],[C]]</f>
        <v>-33.356769914679781</v>
      </c>
      <c r="M101">
        <f xml:space="preserve"> Tableau1[[#This Row],[C]] - 0.5 * (-50) * (Tableau1[[#This Row],[P]] - $P$4)</f>
        <v>137.35676991467977</v>
      </c>
    </row>
    <row r="102" spans="2:13" x14ac:dyDescent="0.3">
      <c r="B102">
        <v>100</v>
      </c>
      <c r="C102">
        <f t="shared" si="1"/>
        <v>0.56254810487505602</v>
      </c>
      <c r="D102">
        <f>Tableau1[[#This Row],[d1]]-$R$4*SQRT($O$4)</f>
        <v>-0.337451895124944</v>
      </c>
      <c r="E102">
        <f>NORMSDIST(Tableau1[[#This Row],[d1]])</f>
        <v>0.7131286809235502</v>
      </c>
      <c r="F102">
        <f>NORMSDIST(Tableau1[[#This Row],[d2]])</f>
        <v>0.36788813483793281</v>
      </c>
      <c r="G102">
        <f>Tableau1[[#This Row],[P]]*Tableau1[[#This Row],[N(d1)]]-$P$4*EXP(-$N$4*$O$4)*Tableau1[[#This Row],[N(d2)]]</f>
        <v>38.06799630801487</v>
      </c>
      <c r="L102">
        <f>MAX(Tableau1[[#This Row],[P]]-$P$4)-Tableau1[[#This Row],[C]]</f>
        <v>-33.06799630801487</v>
      </c>
      <c r="M102">
        <f xml:space="preserve"> Tableau1[[#This Row],[C]] - 0.5 * (-50) * (Tableau1[[#This Row],[P]] - $P$4)</f>
        <v>163.06799630801487</v>
      </c>
    </row>
    <row r="103" spans="2:13" x14ac:dyDescent="0.3">
      <c r="B103">
        <v>101</v>
      </c>
      <c r="C103">
        <f t="shared" si="1"/>
        <v>0.57360402804524291</v>
      </c>
      <c r="D103">
        <f>Tableau1[[#This Row],[d1]]-$R$4*SQRT($O$4)</f>
        <v>-0.32639597195475711</v>
      </c>
      <c r="E103">
        <f>NORMSDIST(Tableau1[[#This Row],[d1]])</f>
        <v>0.71688210731250268</v>
      </c>
      <c r="F103">
        <f>NORMSDIST(Tableau1[[#This Row],[d2]])</f>
        <v>0.3720623923617693</v>
      </c>
      <c r="G103">
        <f>Tableau1[[#This Row],[P]]*Tableau1[[#This Row],[N(d1)]]-$P$4*EXP(-$N$4*$O$4)*Tableau1[[#This Row],[N(d2)]]</f>
        <v>38.783006778921525</v>
      </c>
      <c r="L103">
        <f>MAX(Tableau1[[#This Row],[P]]-$P$4)-Tableau1[[#This Row],[C]]</f>
        <v>-32.783006778921525</v>
      </c>
      <c r="M103">
        <f xml:space="preserve"> Tableau1[[#This Row],[C]] - 0.5 * (-50) * (Tableau1[[#This Row],[P]] - $P$4)</f>
        <v>188.78300677892153</v>
      </c>
    </row>
    <row r="104" spans="2:13" x14ac:dyDescent="0.3">
      <c r="B104">
        <v>102</v>
      </c>
      <c r="C104">
        <f t="shared" si="1"/>
        <v>0.58455102409303372</v>
      </c>
      <c r="D104">
        <f>Tableau1[[#This Row],[d1]]-$R$4*SQRT($O$4)</f>
        <v>-0.3154489759069663</v>
      </c>
      <c r="E104">
        <f>NORMSDIST(Tableau1[[#This Row],[d1]])</f>
        <v>0.72057517639660551</v>
      </c>
      <c r="F104">
        <f>NORMSDIST(Tableau1[[#This Row],[d2]])</f>
        <v>0.37621039304805087</v>
      </c>
      <c r="G104">
        <f>Tableau1[[#This Row],[P]]*Tableau1[[#This Row],[N(d1)]]-$P$4*EXP(-$N$4*$O$4)*Tableau1[[#This Row],[N(d2)]]</f>
        <v>39.501740403776701</v>
      </c>
      <c r="L104">
        <f>MAX(Tableau1[[#This Row],[P]]-$P$4)-Tableau1[[#This Row],[C]]</f>
        <v>-32.501740403776701</v>
      </c>
      <c r="M104">
        <f xml:space="preserve"> Tableau1[[#This Row],[C]] - 0.5 * (-50) * (Tableau1[[#This Row],[P]] - $P$4)</f>
        <v>214.50174040377669</v>
      </c>
    </row>
    <row r="105" spans="2:13" x14ac:dyDescent="0.3">
      <c r="B105">
        <v>103</v>
      </c>
      <c r="C105">
        <f t="shared" si="1"/>
        <v>0.59539121847677212</v>
      </c>
      <c r="D105">
        <f>Tableau1[[#This Row],[d1]]-$R$4*SQRT($O$4)</f>
        <v>-0.3046087815232279</v>
      </c>
      <c r="E105">
        <f>NORMSDIST(Tableau1[[#This Row],[d1]])</f>
        <v>0.724209002952655</v>
      </c>
      <c r="F105">
        <f>NORMSDIST(Tableau1[[#This Row],[d2]])</f>
        <v>0.38033206550147275</v>
      </c>
      <c r="G105">
        <f>Tableau1[[#This Row],[P]]*Tableau1[[#This Row],[N(d1)]]-$P$4*EXP(-$N$4*$O$4)*Tableau1[[#This Row],[N(d2)]]</f>
        <v>40.224137384440759</v>
      </c>
      <c r="L105">
        <f>MAX(Tableau1[[#This Row],[P]]-$P$4)-Tableau1[[#This Row],[C]]</f>
        <v>-32.224137384440759</v>
      </c>
      <c r="M105">
        <f xml:space="preserve"> Tableau1[[#This Row],[C]] - 0.5 * (-50) * (Tableau1[[#This Row],[P]] - $P$4)</f>
        <v>240.22413738444075</v>
      </c>
    </row>
    <row r="106" spans="2:13" x14ac:dyDescent="0.3">
      <c r="B106">
        <v>104</v>
      </c>
      <c r="C106">
        <f t="shared" si="1"/>
        <v>0.60612667504536877</v>
      </c>
      <c r="D106">
        <f>Tableau1[[#This Row],[d1]]-$R$4*SQRT($O$4)</f>
        <v>-0.29387332495463125</v>
      </c>
      <c r="E106">
        <f>NORMSDIST(Tableau1[[#This Row],[d1]])</f>
        <v>0.72778468057555501</v>
      </c>
      <c r="F106">
        <f>NORMSDIST(Tableau1[[#This Row],[d2]])</f>
        <v>0.3844273510750848</v>
      </c>
      <c r="G106">
        <f>Tableau1[[#This Row],[P]]*Tableau1[[#This Row],[N(d1)]]-$P$4*EXP(-$N$4*$O$4)*Tableau1[[#This Row],[N(d2)]]</f>
        <v>40.950139026936476</v>
      </c>
      <c r="L106">
        <f>MAX(Tableau1[[#This Row],[P]]-$P$4)-Tableau1[[#This Row],[C]]</f>
        <v>-31.950139026936476</v>
      </c>
      <c r="M106">
        <f xml:space="preserve"> Tableau1[[#This Row],[C]] - 0.5 * (-50) * (Tableau1[[#This Row],[P]] - $P$4)</f>
        <v>265.95013902693648</v>
      </c>
    </row>
    <row r="107" spans="2:13" x14ac:dyDescent="0.3">
      <c r="B107">
        <v>105</v>
      </c>
      <c r="C107">
        <f t="shared" si="1"/>
        <v>0.61675939839664728</v>
      </c>
      <c r="D107">
        <f>Tableau1[[#This Row],[d1]]-$R$4*SQRT($O$4)</f>
        <v>-0.28324060160335274</v>
      </c>
      <c r="E107">
        <f>NORMSDIST(Tableau1[[#This Row],[d1]])</f>
        <v>0.73130328196504013</v>
      </c>
      <c r="F107">
        <f>NORMSDIST(Tableau1[[#This Row],[d2]])</f>
        <v>0.3884962032642712</v>
      </c>
      <c r="G107">
        <f>Tableau1[[#This Row],[P]]*Tableau1[[#This Row],[N(d1)]]-$P$4*EXP(-$N$4*$O$4)*Tableau1[[#This Row],[N(d2)]]</f>
        <v>41.679687720409625</v>
      </c>
      <c r="L107">
        <f>MAX(Tableau1[[#This Row],[P]]-$P$4)-Tableau1[[#This Row],[C]]</f>
        <v>-31.679687720409625</v>
      </c>
      <c r="M107">
        <f xml:space="preserve"> Tableau1[[#This Row],[C]] - 0.5 * (-50) * (Tableau1[[#This Row],[P]] - $P$4)</f>
        <v>291.67968772040962</v>
      </c>
    </row>
    <row r="108" spans="2:13" x14ac:dyDescent="0.3">
      <c r="B108">
        <v>106</v>
      </c>
      <c r="C108">
        <f t="shared" si="1"/>
        <v>0.62729133612391796</v>
      </c>
      <c r="D108">
        <f>Tableau1[[#This Row],[d1]]-$R$4*SQRT($O$4)</f>
        <v>-0.27270866387608206</v>
      </c>
      <c r="E108">
        <f>NORMSDIST(Tableau1[[#This Row],[d1]])</f>
        <v>0.73476585922089044</v>
      </c>
      <c r="F108">
        <f>NORMSDIST(Tableau1[[#This Row],[d2]])</f>
        <v>0.39253858712650475</v>
      </c>
      <c r="G108">
        <f>Tableau1[[#This Row],[P]]*Tableau1[[#This Row],[N(d1)]]-$P$4*EXP(-$N$4*$O$4)*Tableau1[[#This Row],[N(d2)]]</f>
        <v>42.412726916380883</v>
      </c>
      <c r="L108">
        <f>MAX(Tableau1[[#This Row],[P]]-$P$4)-Tableau1[[#This Row],[C]]</f>
        <v>-31.412726916380883</v>
      </c>
      <c r="M108">
        <f xml:space="preserve"> Tableau1[[#This Row],[C]] - 0.5 * (-50) * (Tableau1[[#This Row],[P]] - $P$4)</f>
        <v>317.4127269163809</v>
      </c>
    </row>
    <row r="109" spans="2:13" x14ac:dyDescent="0.3">
      <c r="B109">
        <v>107</v>
      </c>
      <c r="C109">
        <f t="shared" si="1"/>
        <v>0.63772438095707251</v>
      </c>
      <c r="D109">
        <f>Tableau1[[#This Row],[d1]]-$R$4*SQRT($O$4)</f>
        <v>-0.26227561904292751</v>
      </c>
      <c r="E109">
        <f>NORMSDIST(Tableau1[[#This Row],[d1]])</f>
        <v>0.73817344414523434</v>
      </c>
      <c r="F109">
        <f>NORMSDIST(Tableau1[[#This Row],[d2]])</f>
        <v>0.39655447872578897</v>
      </c>
      <c r="G109">
        <f>Tableau1[[#This Row],[P]]*Tableau1[[#This Row],[N(d1)]]-$P$4*EXP(-$N$4*$O$4)*Tableau1[[#This Row],[N(d2)]]</f>
        <v>43.149201108296353</v>
      </c>
      <c r="L109">
        <f>MAX(Tableau1[[#This Row],[P]]-$P$4)-Tableau1[[#This Row],[C]]</f>
        <v>-31.149201108296353</v>
      </c>
      <c r="M109">
        <f xml:space="preserve"> Tableau1[[#This Row],[C]] - 0.5 * (-50) * (Tableau1[[#This Row],[P]] - $P$4)</f>
        <v>343.14920110829632</v>
      </c>
    </row>
    <row r="110" spans="2:13" x14ac:dyDescent="0.3">
      <c r="B110">
        <v>108</v>
      </c>
      <c r="C110">
        <f t="shared" si="1"/>
        <v>0.64806037280408768</v>
      </c>
      <c r="D110">
        <f>Tableau1[[#This Row],[d1]]-$R$4*SQRT($O$4)</f>
        <v>-0.25193962719591234</v>
      </c>
      <c r="E110">
        <f>NORMSDIST(Tableau1[[#This Row],[d1]])</f>
        <v>0.74152704855067064</v>
      </c>
      <c r="F110">
        <f>NORMSDIST(Tableau1[[#This Row],[d2]])</f>
        <v>0.40054386460074703</v>
      </c>
      <c r="G110">
        <f>Tableau1[[#This Row],[P]]*Tableau1[[#This Row],[N(d1)]]-$P$4*EXP(-$N$4*$O$4)*Tableau1[[#This Row],[N(d2)]]</f>
        <v>43.889055811383678</v>
      </c>
      <c r="L110">
        <f>MAX(Tableau1[[#This Row],[P]]-$P$4)-Tableau1[[#This Row],[C]]</f>
        <v>-30.889055811383678</v>
      </c>
      <c r="M110">
        <f xml:space="preserve"> Tableau1[[#This Row],[C]] - 0.5 * (-50) * (Tableau1[[#This Row],[P]] - $P$4)</f>
        <v>368.88905581138368</v>
      </c>
    </row>
    <row r="111" spans="2:13" x14ac:dyDescent="0.3">
      <c r="B111">
        <v>109</v>
      </c>
      <c r="C111">
        <f t="shared" si="1"/>
        <v>0.65830110069844761</v>
      </c>
      <c r="D111">
        <f>Tableau1[[#This Row],[d1]]-$R$4*SQRT($O$4)</f>
        <v>-0.24169889930155242</v>
      </c>
      <c r="E111">
        <f>NORMSDIST(Tableau1[[#This Row],[d1]])</f>
        <v>0.74482766457305494</v>
      </c>
      <c r="F111">
        <f>NORMSDIST(Tableau1[[#This Row],[d2]])</f>
        <v>0.40450674125535963</v>
      </c>
      <c r="G111">
        <f>Tableau1[[#This Row],[P]]*Tableau1[[#This Row],[N(d1)]]-$P$4*EXP(-$N$4*$O$4)*Tableau1[[#This Row],[N(d2)]]</f>
        <v>44.632237542818473</v>
      </c>
      <c r="L111">
        <f>MAX(Tableau1[[#This Row],[P]]-$P$4)-Tableau1[[#This Row],[C]]</f>
        <v>-30.632237542818473</v>
      </c>
      <c r="M111">
        <f xml:space="preserve"> Tableau1[[#This Row],[C]] - 0.5 * (-50) * (Tableau1[[#This Row],[P]] - $P$4)</f>
        <v>394.63223754281847</v>
      </c>
    </row>
    <row r="112" spans="2:13" x14ac:dyDescent="0.3">
      <c r="B112">
        <v>110</v>
      </c>
      <c r="C112">
        <f t="shared" si="1"/>
        <v>0.66844830465763938</v>
      </c>
      <c r="D112">
        <f>Tableau1[[#This Row],[d1]]-$R$4*SQRT($O$4)</f>
        <v>-0.23155169534236064</v>
      </c>
      <c r="E112">
        <f>NORMSDIST(Tableau1[[#This Row],[d1]])</f>
        <v>0.74807626498790891</v>
      </c>
      <c r="F112">
        <f>NORMSDIST(Tableau1[[#This Row],[d2]])</f>
        <v>0.40844311467139705</v>
      </c>
      <c r="G112">
        <f>Tableau1[[#This Row],[P]]*Tableau1[[#This Row],[N(d1)]]-$P$4*EXP(-$N$4*$O$4)*Tableau1[[#This Row],[N(d2)]]</f>
        <v>45.378693802205525</v>
      </c>
      <c r="L112">
        <f>MAX(Tableau1[[#This Row],[P]]-$P$4)-Tableau1[[#This Row],[C]]</f>
        <v>-30.378693802205525</v>
      </c>
      <c r="M112">
        <f xml:space="preserve"> Tableau1[[#This Row],[C]] - 0.5 * (-50) * (Tableau1[[#This Row],[P]] - $P$4)</f>
        <v>420.37869380220553</v>
      </c>
    </row>
    <row r="113" spans="2:13" x14ac:dyDescent="0.3">
      <c r="B113">
        <v>111</v>
      </c>
      <c r="C113">
        <f t="shared" si="1"/>
        <v>0.67850367745754825</v>
      </c>
      <c r="D113">
        <f>Tableau1[[#This Row],[d1]]-$R$4*SQRT($O$4)</f>
        <v>-0.22149632254245177</v>
      </c>
      <c r="E113">
        <f>NORMSDIST(Tableau1[[#This Row],[d1]])</f>
        <v>0.75127380352950279</v>
      </c>
      <c r="F113">
        <f>NORMSDIST(Tableau1[[#This Row],[d2]])</f>
        <v>0.41235299984162721</v>
      </c>
      <c r="G113">
        <f>Tableau1[[#This Row],[P]]*Tableau1[[#This Row],[N(d1)]]-$P$4*EXP(-$N$4*$O$4)*Tableau1[[#This Row],[N(d2)]]</f>
        <v>46.128373052377874</v>
      </c>
      <c r="L113">
        <f>MAX(Tableau1[[#This Row],[P]]-$P$4)-Tableau1[[#This Row],[C]]</f>
        <v>-30.128373052377874</v>
      </c>
      <c r="M113">
        <f xml:space="preserve"> Tableau1[[#This Row],[C]] - 0.5 * (-50) * (Tableau1[[#This Row],[P]] - $P$4)</f>
        <v>446.12837305237787</v>
      </c>
    </row>
    <row r="114" spans="2:13" x14ac:dyDescent="0.3">
      <c r="B114">
        <v>112</v>
      </c>
      <c r="C114">
        <f t="shared" si="1"/>
        <v>0.68846886632728188</v>
      </c>
      <c r="D114">
        <f>Tableau1[[#This Row],[d1]]-$R$4*SQRT($O$4)</f>
        <v>-0.21153113367271814</v>
      </c>
      <c r="E114">
        <f>NORMSDIST(Tableau1[[#This Row],[d1]])</f>
        <v>0.75442121521175909</v>
      </c>
      <c r="F114">
        <f>NORMSDIST(Tableau1[[#This Row],[d2]])</f>
        <v>0.41623642032292418</v>
      </c>
      <c r="G114">
        <f>Tableau1[[#This Row],[P]]*Tableau1[[#This Row],[N(d1)]]-$P$4*EXP(-$N$4*$O$4)*Tableau1[[#This Row],[N(d2)]]</f>
        <v>46.88122470051583</v>
      </c>
      <c r="L114">
        <f>MAX(Tableau1[[#This Row],[P]]-$P$4)-Tableau1[[#This Row],[C]]</f>
        <v>-29.88122470051583</v>
      </c>
      <c r="M114">
        <f xml:space="preserve"> Tableau1[[#This Row],[C]] - 0.5 * (-50) * (Tableau1[[#This Row],[P]] - $P$4)</f>
        <v>471.88122470051582</v>
      </c>
    </row>
    <row r="115" spans="2:13" x14ac:dyDescent="0.3">
      <c r="B115">
        <v>113</v>
      </c>
      <c r="C115">
        <f t="shared" si="1"/>
        <v>0.69834547456866625</v>
      </c>
      <c r="D115">
        <f>Tableau1[[#This Row],[d1]]-$R$4*SQRT($O$4)</f>
        <v>-0.20165452543133378</v>
      </c>
      <c r="E115">
        <f>NORMSDIST(Tableau1[[#This Row],[d1]])</f>
        <v>0.75751941665020417</v>
      </c>
      <c r="F115">
        <f>NORMSDIST(Tableau1[[#This Row],[d2]])</f>
        <v>0.42009340780843629</v>
      </c>
      <c r="G115">
        <f>Tableau1[[#This Row],[P]]*Tableau1[[#This Row],[N(d1)]]-$P$4*EXP(-$N$4*$O$4)*Tableau1[[#This Row],[N(d2)]]</f>
        <v>47.637199079587624</v>
      </c>
      <c r="L115">
        <f>MAX(Tableau1[[#This Row],[P]]-$P$4)-Tableau1[[#This Row],[C]]</f>
        <v>-29.637199079587624</v>
      </c>
      <c r="M115">
        <f xml:space="preserve"> Tableau1[[#This Row],[C]] - 0.5 * (-50) * (Tableau1[[#This Row],[P]] - $P$4)</f>
        <v>497.63719907958762</v>
      </c>
    </row>
    <row r="116" spans="2:13" x14ac:dyDescent="0.3">
      <c r="B116">
        <v>114</v>
      </c>
      <c r="C116">
        <f t="shared" si="1"/>
        <v>0.708135063104394</v>
      </c>
      <c r="D116">
        <f>Tableau1[[#This Row],[d1]]-$R$4*SQRT($O$4)</f>
        <v>-0.19186493689560602</v>
      </c>
      <c r="E116">
        <f>NORMSDIST(Tableau1[[#This Row],[d1]])</f>
        <v>0.76056930638427045</v>
      </c>
      <c r="F116">
        <f>NORMSDIST(Tableau1[[#This Row],[d2]])</f>
        <v>0.42392400171800854</v>
      </c>
      <c r="G116">
        <f>Tableau1[[#This Row],[P]]*Tableau1[[#This Row],[N(d1)]]-$P$4*EXP(-$N$4*$O$4)*Tableau1[[#This Row],[N(d2)]]</f>
        <v>48.396247430112041</v>
      </c>
      <c r="L116">
        <f>MAX(Tableau1[[#This Row],[P]]-$P$4)-Tableau1[[#This Row],[C]]</f>
        <v>-29.396247430112041</v>
      </c>
      <c r="M116">
        <f xml:space="preserve"> Tableau1[[#This Row],[C]] - 0.5 * (-50) * (Tableau1[[#This Row],[P]] - $P$4)</f>
        <v>523.396247430112</v>
      </c>
    </row>
    <row r="117" spans="2:13" x14ac:dyDescent="0.3">
      <c r="B117">
        <v>115</v>
      </c>
      <c r="C117">
        <f t="shared" si="1"/>
        <v>0.71783915195856585</v>
      </c>
      <c r="D117">
        <f>Tableau1[[#This Row],[d1]]-$R$4*SQRT($O$4)</f>
        <v>-0.18216084804143418</v>
      </c>
      <c r="E117">
        <f>NORMSDIST(Tableau1[[#This Row],[d1]])</f>
        <v>0.76357176519932501</v>
      </c>
      <c r="F117">
        <f>NORMSDIST(Tableau1[[#This Row],[d2]])</f>
        <v>0.42772824880608895</v>
      </c>
      <c r="G117">
        <f>Tableau1[[#This Row],[P]]*Tableau1[[#This Row],[N(d1)]]-$P$4*EXP(-$N$4*$O$4)*Tableau1[[#This Row],[N(d2)]]</f>
        <v>49.158321882243527</v>
      </c>
      <c r="L117">
        <f>MAX(Tableau1[[#This Row],[P]]-$P$4)-Tableau1[[#This Row],[C]]</f>
        <v>-29.158321882243527</v>
      </c>
      <c r="M117">
        <f xml:space="preserve"> Tableau1[[#This Row],[C]] - 0.5 * (-50) * (Tableau1[[#This Row],[P]] - $P$4)</f>
        <v>549.15832188224351</v>
      </c>
    </row>
    <row r="118" spans="2:13" x14ac:dyDescent="0.3">
      <c r="B118">
        <v>116</v>
      </c>
      <c r="C118">
        <f t="shared" si="1"/>
        <v>0.72745922167313759</v>
      </c>
      <c r="D118">
        <f>Tableau1[[#This Row],[d1]]-$R$4*SQRT($O$4)</f>
        <v>-0.17254077832686243</v>
      </c>
      <c r="E118">
        <f>NORMSDIST(Tableau1[[#This Row],[d1]])</f>
        <v>0.76652765644785847</v>
      </c>
      <c r="F118">
        <f>NORMSDIST(Tableau1[[#This Row],[d2]])</f>
        <v>0.43150620278638152</v>
      </c>
      <c r="G118">
        <f>Tableau1[[#This Row],[P]]*Tableau1[[#This Row],[N(d1)]]-$P$4*EXP(-$N$4*$O$4)*Tableau1[[#This Row],[N(d2)]]</f>
        <v>49.923375438178667</v>
      </c>
      <c r="L118">
        <f>MAX(Tableau1[[#This Row],[P]]-$P$4)-Tableau1[[#This Row],[C]]</f>
        <v>-28.923375438178667</v>
      </c>
      <c r="M118">
        <f xml:space="preserve"> Tableau1[[#This Row],[C]] - 0.5 * (-50) * (Tableau1[[#This Row],[P]] - $P$4)</f>
        <v>574.92337543817871</v>
      </c>
    </row>
    <row r="119" spans="2:13" x14ac:dyDescent="0.3">
      <c r="B119">
        <v>117</v>
      </c>
      <c r="C119">
        <f t="shared" si="1"/>
        <v>0.73699671466357264</v>
      </c>
      <c r="D119">
        <f>Tableau1[[#This Row],[d1]]-$R$4*SQRT($O$4)</f>
        <v>-0.16300328533642738</v>
      </c>
      <c r="E119">
        <f>NORMSDIST(Tableau1[[#This Row],[d1]])</f>
        <v>0.76943782636933244</v>
      </c>
      <c r="F119">
        <f>NORMSDIST(Tableau1[[#This Row],[d2]])</f>
        <v>0.43525792397253776</v>
      </c>
      <c r="G119">
        <f>Tableau1[[#This Row],[P]]*Tableau1[[#This Row],[N(d1)]]-$P$4*EXP(-$N$4*$O$4)*Tableau1[[#This Row],[N(d2)]]</f>
        <v>50.691361954883504</v>
      </c>
      <c r="L119">
        <f>MAX(Tableau1[[#This Row],[P]]-$P$4)-Tableau1[[#This Row],[C]]</f>
        <v>-28.691361954883504</v>
      </c>
      <c r="M119">
        <f xml:space="preserve"> Tableau1[[#This Row],[C]] - 0.5 * (-50) * (Tableau1[[#This Row],[P]] - $P$4)</f>
        <v>600.69136195488352</v>
      </c>
    </row>
    <row r="120" spans="2:13" x14ac:dyDescent="0.3">
      <c r="B120">
        <v>118</v>
      </c>
      <c r="C120">
        <f t="shared" si="1"/>
        <v>0.74645303651680439</v>
      </c>
      <c r="D120">
        <f>Tableau1[[#This Row],[d1]]-$R$4*SQRT($O$4)</f>
        <v>-0.15354696348319563</v>
      </c>
      <c r="E120">
        <f>NORMSDIST(Tableau1[[#This Row],[d1]])</f>
        <v>0.77230310440823002</v>
      </c>
      <c r="F120">
        <f>NORMSDIST(Tableau1[[#This Row],[d2]])</f>
        <v>0.43898347893421147</v>
      </c>
      <c r="G120">
        <f>Tableau1[[#This Row],[P]]*Tableau1[[#This Row],[N(d1)]]-$P$4*EXP(-$N$4*$O$4)*Tableau1[[#This Row],[N(d2)]]</f>
        <v>51.462236127139569</v>
      </c>
      <c r="L120">
        <f>MAX(Tableau1[[#This Row],[P]]-$P$4)-Tableau1[[#This Row],[C]]</f>
        <v>-28.462236127139569</v>
      </c>
      <c r="M120">
        <f xml:space="preserve"> Tableau1[[#This Row],[C]] - 0.5 * (-50) * (Tableau1[[#This Row],[P]] - $P$4)</f>
        <v>626.46223612713959</v>
      </c>
    </row>
    <row r="121" spans="2:13" x14ac:dyDescent="0.3">
      <c r="B121">
        <v>119</v>
      </c>
      <c r="C121">
        <f t="shared" si="1"/>
        <v>0.75582955723443157</v>
      </c>
      <c r="D121">
        <f>Tableau1[[#This Row],[d1]]-$R$4*SQRT($O$4)</f>
        <v>-0.14417044276556845</v>
      </c>
      <c r="E121">
        <f>NORMSDIST(Tableau1[[#This Row],[d1]])</f>
        <v>0.77512430352991013</v>
      </c>
      <c r="F121">
        <f>NORMSDIST(Tableau1[[#This Row],[d2]])</f>
        <v>0.44268294016782878</v>
      </c>
      <c r="G121">
        <f>Tableau1[[#This Row],[P]]*Tableau1[[#This Row],[N(d1)]]-$P$4*EXP(-$N$4*$O$4)*Tableau1[[#This Row],[N(d2)]]</f>
        <v>52.23595347090717</v>
      </c>
      <c r="L121">
        <f>MAX(Tableau1[[#This Row],[P]]-$P$4)-Tableau1[[#This Row],[C]]</f>
        <v>-28.23595347090717</v>
      </c>
      <c r="M121">
        <f xml:space="preserve"> Tableau1[[#This Row],[C]] - 0.5 * (-50) * (Tableau1[[#This Row],[P]] - $P$4)</f>
        <v>652.23595347090713</v>
      </c>
    </row>
    <row r="122" spans="2:13" x14ac:dyDescent="0.3">
      <c r="B122">
        <v>120</v>
      </c>
      <c r="C122">
        <f t="shared" si="1"/>
        <v>0.7651276124238946</v>
      </c>
      <c r="D122">
        <f>Tableau1[[#This Row],[d1]]-$R$4*SQRT($O$4)</f>
        <v>-0.13487238757610542</v>
      </c>
      <c r="E122">
        <f>NORMSDIST(Tableau1[[#This Row],[d1]])</f>
        <v>0.77790222053390401</v>
      </c>
      <c r="F122">
        <f>NORMSDIST(Tableau1[[#This Row],[d2]])</f>
        <v>0.4463563857814532</v>
      </c>
      <c r="G122">
        <f>Tableau1[[#This Row],[P]]*Tableau1[[#This Row],[N(d1)]]-$P$4*EXP(-$N$4*$O$4)*Tableau1[[#This Row],[N(d2)]]</f>
        <v>53.012470307002999</v>
      </c>
      <c r="L122">
        <f>MAX(Tableau1[[#This Row],[P]]-$P$4)-Tableau1[[#This Row],[C]]</f>
        <v>-28.012470307002999</v>
      </c>
      <c r="M122">
        <f xml:space="preserve"> Tableau1[[#This Row],[C]] - 0.5 * (-50) * (Tableau1[[#This Row],[P]] - $P$4)</f>
        <v>678.01247030700301</v>
      </c>
    </row>
    <row r="123" spans="2:13" x14ac:dyDescent="0.3">
      <c r="B123">
        <v>121</v>
      </c>
      <c r="C123">
        <f t="shared" si="1"/>
        <v>0.77434850444022241</v>
      </c>
      <c r="D123">
        <f>Tableau1[[#This Row],[d1]]-$R$4*SQRT($O$4)</f>
        <v>-0.12565149555977762</v>
      </c>
      <c r="E123">
        <f>NORMSDIST(Tableau1[[#This Row],[d1]])</f>
        <v>0.78063763636433747</v>
      </c>
      <c r="F123">
        <f>NORMSDIST(Tableau1[[#This Row],[d2]])</f>
        <v>0.45000389919315115</v>
      </c>
      <c r="G123">
        <f>Tableau1[[#This Row],[P]]*Tableau1[[#This Row],[N(d1)]]-$P$4*EXP(-$N$4*$O$4)*Tableau1[[#This Row],[N(d2)]]</f>
        <v>53.791743745089875</v>
      </c>
      <c r="L123">
        <f>MAX(Tableau1[[#This Row],[P]]-$P$4)-Tableau1[[#This Row],[C]]</f>
        <v>-27.791743745089875</v>
      </c>
      <c r="M123">
        <f xml:space="preserve"> Tableau1[[#This Row],[C]] - 0.5 * (-50) * (Tableau1[[#This Row],[P]] - $P$4)</f>
        <v>703.79174374508989</v>
      </c>
    </row>
    <row r="124" spans="2:13" x14ac:dyDescent="0.3">
      <c r="B124">
        <v>122</v>
      </c>
      <c r="C124">
        <f t="shared" si="1"/>
        <v>0.78349350348079527</v>
      </c>
      <c r="D124">
        <f>Tableau1[[#This Row],[d1]]-$R$4*SQRT($O$4)</f>
        <v>-0.11650649651920475</v>
      </c>
      <c r="E124">
        <f>NORMSDIST(Tableau1[[#This Row],[d1]])</f>
        <v>0.78333131641719822</v>
      </c>
      <c r="F124">
        <f>NORMSDIST(Tableau1[[#This Row],[d2]])</f>
        <v>0.45362556884229266</v>
      </c>
      <c r="G124">
        <f>Tableau1[[#This Row],[P]]*Tableau1[[#This Row],[N(d1)]]-$P$4*EXP(-$N$4*$O$4)*Tableau1[[#This Row],[N(d2)]]</f>
        <v>54.573731667975188</v>
      </c>
      <c r="L124">
        <f>MAX(Tableau1[[#This Row],[P]]-$P$4)-Tableau1[[#This Row],[C]]</f>
        <v>-27.573731667975188</v>
      </c>
      <c r="M124">
        <f xml:space="preserve"> Tableau1[[#This Row],[C]] - 0.5 * (-50) * (Tableau1[[#This Row],[P]] - $P$4)</f>
        <v>729.57373166797515</v>
      </c>
    </row>
    <row r="125" spans="2:13" x14ac:dyDescent="0.3">
      <c r="B125">
        <v>123</v>
      </c>
      <c r="C125">
        <f t="shared" si="1"/>
        <v>0.79256384863541851</v>
      </c>
      <c r="D125">
        <f>Tableau1[[#This Row],[d1]]-$R$4*SQRT($O$4)</f>
        <v>-0.10743615136458151</v>
      </c>
      <c r="E125">
        <f>NORMSDIST(Tableau1[[#This Row],[d1]])</f>
        <v>0.78598401084420089</v>
      </c>
      <c r="F125">
        <f>NORMSDIST(Tableau1[[#This Row],[d2]])</f>
        <v>0.45722148791323897</v>
      </c>
      <c r="G125">
        <f>Tableau1[[#This Row],[P]]*Tableau1[[#This Row],[N(d1)]]-$P$4*EXP(-$N$4*$O$4)*Tableau1[[#This Row],[N(d2)]]</f>
        <v>55.358392716215022</v>
      </c>
      <c r="L125">
        <f>MAX(Tableau1[[#This Row],[P]]-$P$4)-Tableau1[[#This Row],[C]]</f>
        <v>-27.358392716215022</v>
      </c>
      <c r="M125">
        <f xml:space="preserve"> Tableau1[[#This Row],[C]] - 0.5 * (-50) * (Tableau1[[#This Row],[P]] - $P$4)</f>
        <v>755.35839271621501</v>
      </c>
    </row>
    <row r="126" spans="2:13" x14ac:dyDescent="0.3">
      <c r="B126">
        <v>124</v>
      </c>
      <c r="C126">
        <f t="shared" si="1"/>
        <v>0.80156074889388462</v>
      </c>
      <c r="D126">
        <f>Tableau1[[#This Row],[d1]]-$R$4*SQRT($O$4)</f>
        <v>-9.84392511061154E-2</v>
      </c>
      <c r="E126">
        <f>NORMSDIST(Tableau1[[#This Row],[d1]])</f>
        <v>0.78859645485303476</v>
      </c>
      <c r="F126">
        <f>NORMSDIST(Tableau1[[#This Row],[d2]])</f>
        <v>0.46079175407090045</v>
      </c>
      <c r="G126">
        <f>Tableau1[[#This Row],[P]]*Tableau1[[#This Row],[N(d1)]]-$P$4*EXP(-$N$4*$O$4)*Tableau1[[#This Row],[N(d2)]]</f>
        <v>56.145686273020274</v>
      </c>
      <c r="L126">
        <f>MAX(Tableau1[[#This Row],[P]]-$P$4)-Tableau1[[#This Row],[C]]</f>
        <v>-27.145686273020274</v>
      </c>
      <c r="M126">
        <f xml:space="preserve"> Tableau1[[#This Row],[C]] - 0.5 * (-50) * (Tableau1[[#This Row],[P]] - $P$4)</f>
        <v>781.14568627302026</v>
      </c>
    </row>
    <row r="127" spans="2:13" x14ac:dyDescent="0.3">
      <c r="B127">
        <v>125</v>
      </c>
      <c r="C127">
        <f t="shared" si="1"/>
        <v>0.81048538411306703</v>
      </c>
      <c r="D127">
        <f>Tableau1[[#This Row],[d1]]-$R$4*SQRT($O$4)</f>
        <v>-8.9514615886932991E-2</v>
      </c>
      <c r="E127">
        <f>NORMSDIST(Tableau1[[#This Row],[d1]])</f>
        <v>0.79116936900380452</v>
      </c>
      <c r="F127">
        <f>NORMSDIST(Tableau1[[#This Row],[d2]])</f>
        <v>0.46433646920766247</v>
      </c>
      <c r="G127">
        <f>Tableau1[[#This Row],[P]]*Tableau1[[#This Row],[N(d1)]]-$P$4*EXP(-$N$4*$O$4)*Tableau1[[#This Row],[N(d2)]]</f>
        <v>56.935572449461226</v>
      </c>
      <c r="L127">
        <f>MAX(Tableau1[[#This Row],[P]]-$P$4)-Tableau1[[#This Row],[C]]</f>
        <v>-26.935572449461226</v>
      </c>
      <c r="M127">
        <f xml:space="preserve"> Tableau1[[#This Row],[C]] - 0.5 * (-50) * (Tableau1[[#This Row],[P]] - $P$4)</f>
        <v>806.93557244946123</v>
      </c>
    </row>
    <row r="128" spans="2:13" x14ac:dyDescent="0.3">
      <c r="B128">
        <v>126</v>
      </c>
      <c r="C128">
        <f t="shared" si="1"/>
        <v>0.81933890594548564</v>
      </c>
      <c r="D128">
        <f>Tableau1[[#This Row],[d1]]-$R$4*SQRT($O$4)</f>
        <v>-8.0661094054514382E-2</v>
      </c>
      <c r="E128">
        <f>NORMSDIST(Tableau1[[#This Row],[d1]])</f>
        <v>0.79370345950150623</v>
      </c>
      <c r="F128">
        <f>NORMSDIST(Tableau1[[#This Row],[d2]])</f>
        <v>0.4678557392012056</v>
      </c>
      <c r="G128">
        <f>Tableau1[[#This Row],[P]]*Tableau1[[#This Row],[N(d1)]]-$P$4*EXP(-$N$4*$O$4)*Tableau1[[#This Row],[N(d2)]]</f>
        <v>57.728012069966482</v>
      </c>
      <c r="L128">
        <f>MAX(Tableau1[[#This Row],[P]]-$P$4)-Tableau1[[#This Row],[C]]</f>
        <v>-26.728012069966482</v>
      </c>
      <c r="M128">
        <f xml:space="preserve"> Tableau1[[#This Row],[C]] - 0.5 * (-50) * (Tableau1[[#This Row],[P]] - $P$4)</f>
        <v>832.72801206996644</v>
      </c>
    </row>
    <row r="129" spans="2:13" x14ac:dyDescent="0.3">
      <c r="B129">
        <v>127</v>
      </c>
      <c r="C129">
        <f t="shared" si="1"/>
        <v>0.82812243873116709</v>
      </c>
      <c r="D129">
        <f>Tableau1[[#This Row],[d1]]-$R$4*SQRT($O$4)</f>
        <v>-7.1877561268832935E-2</v>
      </c>
      <c r="E129">
        <f>NORMSDIST(Tableau1[[#This Row],[d1]])</f>
        <v>0.79619941848439624</v>
      </c>
      <c r="F129">
        <f>NORMSDIST(Tableau1[[#This Row],[d2]])</f>
        <v>0.47134967368276026</v>
      </c>
      <c r="G129">
        <f>Tableau1[[#This Row],[P]]*Tableau1[[#This Row],[N(d1)]]-$P$4*EXP(-$N$4*$O$4)*Tableau1[[#This Row],[N(d2)]]</f>
        <v>58.522966658112445</v>
      </c>
      <c r="L129">
        <f>MAX(Tableau1[[#This Row],[P]]-$P$4)-Tableau1[[#This Row],[C]]</f>
        <v>-26.522966658112445</v>
      </c>
      <c r="M129">
        <f xml:space="preserve"> Tableau1[[#This Row],[C]] - 0.5 * (-50) * (Tableau1[[#This Row],[P]] - $P$4)</f>
        <v>858.52296665811241</v>
      </c>
    </row>
    <row r="130" spans="2:13" x14ac:dyDescent="0.3">
      <c r="B130">
        <v>128</v>
      </c>
      <c r="C130">
        <f t="shared" si="1"/>
        <v>0.83683708035452919</v>
      </c>
      <c r="D130">
        <f>Tableau1[[#This Row],[d1]]-$R$4*SQRT($O$4)</f>
        <v>-6.3162919645470827E-2</v>
      </c>
      <c r="E130">
        <f>NORMSDIST(Tableau1[[#This Row],[d1]])</f>
        <v>0.79865792430813809</v>
      </c>
      <c r="F130">
        <f>NORMSDIST(Tableau1[[#This Row],[d2]])</f>
        <v>0.47481838581535979</v>
      </c>
      <c r="G130">
        <f>Tableau1[[#This Row],[P]]*Tableau1[[#This Row],[N(d1)]]-$P$4*EXP(-$N$4*$O$4)*Tableau1[[#This Row],[N(d2)]]</f>
        <v>59.320398422698922</v>
      </c>
      <c r="L130">
        <f>MAX(Tableau1[[#This Row],[P]]-$P$4)-Tableau1[[#This Row],[C]]</f>
        <v>-26.320398422698922</v>
      </c>
      <c r="M130">
        <f xml:space="preserve"> Tableau1[[#This Row],[C]] - 0.5 * (-50) * (Tableau1[[#This Row],[P]] - $P$4)</f>
        <v>884.32039842269887</v>
      </c>
    </row>
    <row r="131" spans="2:13" x14ac:dyDescent="0.3">
      <c r="B131">
        <v>129</v>
      </c>
      <c r="C131">
        <f t="shared" ref="C131:C194" si="2" xml:space="preserve"> (LN($B131/$P$4) + ($N$4 + ($R$4^2)/2) * $O$4) / ($R$4 * SQRT($O$4))</f>
        <v>0.84548390306792354</v>
      </c>
      <c r="D131">
        <f>Tableau1[[#This Row],[d1]]-$R$4*SQRT($O$4)</f>
        <v>-5.4516096932076485E-2</v>
      </c>
      <c r="E131">
        <f>NORMSDIST(Tableau1[[#This Row],[d1]])</f>
        <v>0.80107964182563107</v>
      </c>
      <c r="F131">
        <f>NORMSDIST(Tableau1[[#This Row],[d2]])</f>
        <v>0.47826199208167375</v>
      </c>
      <c r="G131">
        <f>Tableau1[[#This Row],[P]]*Tableau1[[#This Row],[N(d1)]]-$P$4*EXP(-$N$4*$O$4)*Tableau1[[#This Row],[N(d2)]]</f>
        <v>60.120270244106941</v>
      </c>
      <c r="L131">
        <f>MAX(Tableau1[[#This Row],[P]]-$P$4)-Tableau1[[#This Row],[C]]</f>
        <v>-26.120270244106941</v>
      </c>
      <c r="M131">
        <f xml:space="preserve"> Tableau1[[#This Row],[C]] - 0.5 * (-50) * (Tableau1[[#This Row],[P]] - $P$4)</f>
        <v>910.12027024410691</v>
      </c>
    </row>
    <row r="132" spans="2:13" x14ac:dyDescent="0.3">
      <c r="B132">
        <v>130</v>
      </c>
      <c r="C132">
        <f t="shared" si="2"/>
        <v>0.85406395428337956</v>
      </c>
      <c r="D132">
        <f>Tableau1[[#This Row],[d1]]-$R$4*SQRT($O$4)</f>
        <v>-4.5936045716620466E-2</v>
      </c>
      <c r="E132">
        <f>NORMSDIST(Tableau1[[#This Row],[d1]])</f>
        <v>0.80346522266243814</v>
      </c>
      <c r="F132">
        <f>NORMSDIST(Tableau1[[#This Row],[d2]])</f>
        <v>0.48168061208101903</v>
      </c>
      <c r="G132">
        <f>Tableau1[[#This Row],[P]]*Tableau1[[#This Row],[N(d1)]]-$P$4*EXP(-$N$4*$O$4)*Tableau1[[#This Row],[N(d2)]]</f>
        <v>60.922545660933913</v>
      </c>
      <c r="L132">
        <f>MAX(Tableau1[[#This Row],[P]]-$P$4)-Tableau1[[#This Row],[C]]</f>
        <v>-25.922545660933913</v>
      </c>
      <c r="M132">
        <f xml:space="preserve"> Tableau1[[#This Row],[C]] - 0.5 * (-50) * (Tableau1[[#This Row],[P]] - $P$4)</f>
        <v>935.92254566093391</v>
      </c>
    </row>
    <row r="133" spans="2:13" x14ac:dyDescent="0.3">
      <c r="B133">
        <v>131</v>
      </c>
      <c r="C133">
        <f t="shared" si="2"/>
        <v>0.86257825733401183</v>
      </c>
      <c r="D133">
        <f>Tableau1[[#This Row],[d1]]-$R$4*SQRT($O$4)</f>
        <v>-3.7421742665988189E-2</v>
      </c>
      <c r="E133">
        <f>NORMSDIST(Tableau1[[#This Row],[d1]])</f>
        <v>0.80581530548775204</v>
      </c>
      <c r="F133">
        <f>NORMSDIST(Tableau1[[#This Row],[d2]])</f>
        <v>0.48507436833516621</v>
      </c>
      <c r="G133">
        <f>Tableau1[[#This Row],[P]]*Tableau1[[#This Row],[N(d1)]]-$P$4*EXP(-$N$4*$O$4)*Tableau1[[#This Row],[N(d2)]]</f>
        <v>61.727188856902302</v>
      </c>
      <c r="L133">
        <f>MAX(Tableau1[[#This Row],[P]]-$P$4)-Tableau1[[#This Row],[C]]</f>
        <v>-25.727188856902302</v>
      </c>
      <c r="M133">
        <f xml:space="preserve"> Tableau1[[#This Row],[C]] - 0.5 * (-50) * (Tableau1[[#This Row],[P]] - $P$4)</f>
        <v>961.72718885690233</v>
      </c>
    </row>
    <row r="134" spans="2:13" x14ac:dyDescent="0.3">
      <c r="B134">
        <v>132</v>
      </c>
      <c r="C134">
        <f t="shared" si="2"/>
        <v>0.87102781220647785</v>
      </c>
      <c r="D134">
        <f>Tableau1[[#This Row],[d1]]-$R$4*SQRT($O$4)</f>
        <v>-2.8972187793522175E-2</v>
      </c>
      <c r="E134">
        <f>NORMSDIST(Tableau1[[#This Row],[d1]])</f>
        <v>0.80813051628085009</v>
      </c>
      <c r="F134">
        <f>NORMSDIST(Tableau1[[#This Row],[d2]])</f>
        <v>0.48844338610257354</v>
      </c>
      <c r="G134">
        <f>Tableau1[[#This Row],[P]]*Tableau1[[#This Row],[N(d1)]]-$P$4*EXP(-$N$4*$O$4)*Tableau1[[#This Row],[N(d2)]]</f>
        <v>62.534164648036764</v>
      </c>
      <c r="L134">
        <f>MAX(Tableau1[[#This Row],[P]]-$P$4)-Tableau1[[#This Row],[C]]</f>
        <v>-25.534164648036764</v>
      </c>
      <c r="M134">
        <f xml:space="preserve"> Tableau1[[#This Row],[C]] - 0.5 * (-50) * (Tableau1[[#This Row],[P]] - $P$4)</f>
        <v>987.53416464803672</v>
      </c>
    </row>
    <row r="135" spans="2:13" x14ac:dyDescent="0.3">
      <c r="B135">
        <v>133</v>
      </c>
      <c r="C135">
        <f t="shared" si="2"/>
        <v>0.87941359624579207</v>
      </c>
      <c r="D135">
        <f>Tableau1[[#This Row],[d1]]-$R$4*SQRT($O$4)</f>
        <v>-2.0586403754207949E-2</v>
      </c>
      <c r="E135">
        <f>NORMSDIST(Tableau1[[#This Row],[d1]])</f>
        <v>0.81041146859300051</v>
      </c>
      <c r="F135">
        <f>NORMSDIST(Tableau1[[#This Row],[d2]])</f>
        <v>0.49178779320069532</v>
      </c>
      <c r="G135">
        <f>Tableau1[[#This Row],[P]]*Tableau1[[#This Row],[N(d1)]]-$P$4*EXP(-$N$4*$O$4)*Tableau1[[#This Row],[N(d2)]]</f>
        <v>63.343438470105575</v>
      </c>
      <c r="L135">
        <f>MAX(Tableau1[[#This Row],[P]]-$P$4)-Tableau1[[#This Row],[C]]</f>
        <v>-25.343438470105575</v>
      </c>
      <c r="M135">
        <f xml:space="preserve"> Tableau1[[#This Row],[C]] - 0.5 * (-50) * (Tableau1[[#This Row],[P]] - $P$4)</f>
        <v>1013.3434384701055</v>
      </c>
    </row>
    <row r="136" spans="2:13" x14ac:dyDescent="0.3">
      <c r="B136">
        <v>134</v>
      </c>
      <c r="C136">
        <f t="shared" si="2"/>
        <v>0.88773656483374497</v>
      </c>
      <c r="D136">
        <f>Tableau1[[#This Row],[d1]]-$R$4*SQRT($O$4)</f>
        <v>-1.2263435166255054E-2</v>
      </c>
      <c r="E136">
        <f>NORMSDIST(Tableau1[[#This Row],[d1]])</f>
        <v>0.8126587638047994</v>
      </c>
      <c r="F136">
        <f>NORMSDIST(Tableau1[[#This Row],[d2]])</f>
        <v>0.49510771983603075</v>
      </c>
      <c r="G136">
        <f>Tableau1[[#This Row],[P]]*Tableau1[[#This Row],[N(d1)]]-$P$4*EXP(-$N$4*$O$4)*Tableau1[[#This Row],[N(d2)]]</f>
        <v>64.154976366321733</v>
      </c>
      <c r="L136">
        <f>MAX(Tableau1[[#This Row],[P]]-$P$4)-Tableau1[[#This Row],[C]]</f>
        <v>-25.154976366321733</v>
      </c>
      <c r="M136">
        <f xml:space="preserve"> Tableau1[[#This Row],[C]] - 0.5 * (-50) * (Tableau1[[#This Row],[P]] - $P$4)</f>
        <v>1039.1549763663218</v>
      </c>
    </row>
    <row r="137" spans="2:13" x14ac:dyDescent="0.3">
      <c r="B137">
        <v>135</v>
      </c>
      <c r="C137">
        <f t="shared" si="2"/>
        <v>0.89599765204209847</v>
      </c>
      <c r="D137">
        <f>Tableau1[[#This Row],[d1]]-$R$4*SQRT($O$4)</f>
        <v>-4.0023479579015531E-3</v>
      </c>
      <c r="E137">
        <f>NORMSDIST(Tableau1[[#This Row],[d1]])</f>
        <v>0.81487299137892244</v>
      </c>
      <c r="F137">
        <f>NORMSDIST(Tableau1[[#This Row],[d2]])</f>
        <v>0.49840329844158682</v>
      </c>
      <c r="G137">
        <f>Tableau1[[#This Row],[P]]*Tableau1[[#This Row],[N(d1)]]-$P$4*EXP(-$N$4*$O$4)*Tableau1[[#This Row],[N(d2)]]</f>
        <v>64.968744975298932</v>
      </c>
      <c r="L137">
        <f>MAX(Tableau1[[#This Row],[P]]-$P$4)-Tableau1[[#This Row],[C]]</f>
        <v>-24.968744975298932</v>
      </c>
      <c r="M137">
        <f xml:space="preserve"> Tableau1[[#This Row],[C]] - 0.5 * (-50) * (Tableau1[[#This Row],[P]] - $P$4)</f>
        <v>1064.9687449752989</v>
      </c>
    </row>
    <row r="138" spans="2:13" x14ac:dyDescent="0.3">
      <c r="B138">
        <v>136</v>
      </c>
      <c r="C138">
        <f t="shared" si="2"/>
        <v>0.90419777126167911</v>
      </c>
      <c r="D138">
        <f>Tableau1[[#This Row],[d1]]-$R$4*SQRT($O$4)</f>
        <v>4.1977712616790841E-3</v>
      </c>
      <c r="E138">
        <f>NORMSDIST(Tableau1[[#This Row],[d1]])</f>
        <v>0.81705472910829091</v>
      </c>
      <c r="F138">
        <f>NORMSDIST(Tableau1[[#This Row],[d2]])</f>
        <v>0.50167466352144963</v>
      </c>
      <c r="G138">
        <f>Tableau1[[#This Row],[P]]*Tableau1[[#This Row],[N(d1)]]-$P$4*EXP(-$N$4*$O$4)*Tableau1[[#This Row],[N(d2)]]</f>
        <v>65.784711519258266</v>
      </c>
      <c r="L138">
        <f>MAX(Tableau1[[#This Row],[P]]-$P$4)-Tableau1[[#This Row],[C]]</f>
        <v>-24.784711519258266</v>
      </c>
      <c r="M138">
        <f xml:space="preserve"> Tableau1[[#This Row],[C]] - 0.5 * (-50) * (Tableau1[[#This Row],[P]] - $P$4)</f>
        <v>1090.7847115192583</v>
      </c>
    </row>
    <row r="139" spans="2:13" x14ac:dyDescent="0.3">
      <c r="B139">
        <v>137</v>
      </c>
      <c r="C139">
        <f t="shared" si="2"/>
        <v>0.91233781580842677</v>
      </c>
      <c r="D139">
        <f>Tableau1[[#This Row],[d1]]-$R$4*SQRT($O$4)</f>
        <v>1.2337815808426744E-2</v>
      </c>
      <c r="E139">
        <f>NORMSDIST(Tableau1[[#This Row],[d1]])</f>
        <v>0.8192045433596562</v>
      </c>
      <c r="F139">
        <f>NORMSDIST(Tableau1[[#This Row],[d2]])</f>
        <v>0.50492195150216657</v>
      </c>
      <c r="G139">
        <f>Tableau1[[#This Row],[P]]*Tableau1[[#This Row],[N(d1)]]-$P$4*EXP(-$N$4*$O$4)*Tableau1[[#This Row],[N(d2)]]</f>
        <v>66.602843792480485</v>
      </c>
      <c r="L139">
        <f>MAX(Tableau1[[#This Row],[P]]-$P$4)-Tableau1[[#This Row],[C]]</f>
        <v>-24.602843792480485</v>
      </c>
      <c r="M139">
        <f xml:space="preserve"> Tableau1[[#This Row],[C]] - 0.5 * (-50) * (Tableau1[[#This Row],[P]] - $P$4)</f>
        <v>1116.6028437924806</v>
      </c>
    </row>
    <row r="140" spans="2:13" x14ac:dyDescent="0.3">
      <c r="B140">
        <v>138</v>
      </c>
      <c r="C140">
        <f t="shared" si="2"/>
        <v>0.92041865950740431</v>
      </c>
      <c r="D140">
        <f>Tableau1[[#This Row],[d1]]-$R$4*SQRT($O$4)</f>
        <v>2.0418659507404291E-2</v>
      </c>
      <c r="E140">
        <f>NORMSDIST(Tableau1[[#This Row],[d1]])</f>
        <v>0.8213229893126166</v>
      </c>
      <c r="F140">
        <f>NORMSDIST(Tableau1[[#This Row],[d2]])</f>
        <v>0.50814530059065655</v>
      </c>
      <c r="G140">
        <f>Tableau1[[#This Row],[P]]*Tableau1[[#This Row],[N(d1)]]-$P$4*EXP(-$N$4*$O$4)*Tableau1[[#This Row],[N(d2)]]</f>
        <v>67.4231101499998</v>
      </c>
      <c r="L140">
        <f>MAX(Tableau1[[#This Row],[P]]-$P$4)-Tableau1[[#This Row],[C]]</f>
        <v>-24.4231101499998</v>
      </c>
      <c r="M140">
        <f xml:space="preserve"> Tableau1[[#This Row],[C]] - 0.5 * (-50) * (Tableau1[[#This Row],[P]] - $P$4)</f>
        <v>1142.4231101499997</v>
      </c>
    </row>
    <row r="141" spans="2:13" x14ac:dyDescent="0.3">
      <c r="B141">
        <v>139</v>
      </c>
      <c r="C141">
        <f t="shared" si="2"/>
        <v>0.92844115725572329</v>
      </c>
      <c r="D141">
        <f>Tableau1[[#This Row],[d1]]-$R$4*SQRT($O$4)</f>
        <v>2.8441157255723271E-2</v>
      </c>
      <c r="E141">
        <f>NORMSDIST(Tableau1[[#This Row],[d1]])</f>
        <v>0.82341061119408854</v>
      </c>
      <c r="F141">
        <f>NORMSDIST(Tableau1[[#This Row],[d2]])</f>
        <v>0.51134485063837687</v>
      </c>
      <c r="G141">
        <f>Tableau1[[#This Row],[P]]*Tableau1[[#This Row],[N(d1)]]-$P$4*EXP(-$N$4*$O$4)*Tableau1[[#This Row],[N(d2)]]</f>
        <v>68.245479496534372</v>
      </c>
      <c r="L141">
        <f>MAX(Tableau1[[#This Row],[P]]-$P$4)-Tableau1[[#This Row],[C]]</f>
        <v>-24.245479496534372</v>
      </c>
      <c r="M141">
        <f xml:space="preserve"> Tableau1[[#This Row],[C]] - 0.5 * (-50) * (Tableau1[[#This Row],[P]] - $P$4)</f>
        <v>1168.2454794965345</v>
      </c>
    </row>
    <row r="142" spans="2:13" x14ac:dyDescent="0.3">
      <c r="B142">
        <v>140</v>
      </c>
      <c r="C142">
        <f t="shared" si="2"/>
        <v>0.93640614556529267</v>
      </c>
      <c r="D142">
        <f>Tableau1[[#This Row],[d1]]-$R$4*SQRT($O$4)</f>
        <v>3.6406145565292647E-2</v>
      </c>
      <c r="E142">
        <f>NORMSDIST(Tableau1[[#This Row],[d1]])</f>
        <v>0.82546794250825717</v>
      </c>
      <c r="F142">
        <f>NORMSDIST(Tableau1[[#This Row],[d2]])</f>
        <v>0.51452074301148687</v>
      </c>
      <c r="G142">
        <f>Tableau1[[#This Row],[P]]*Tableau1[[#This Row],[N(d1)]]-$P$4*EXP(-$N$4*$O$4)*Tableau1[[#This Row],[N(d2)]]</f>
        <v>69.069921275648838</v>
      </c>
      <c r="L142">
        <f>MAX(Tableau1[[#This Row],[P]]-$P$4)-Tableau1[[#This Row],[C]]</f>
        <v>-24.069921275648838</v>
      </c>
      <c r="M142">
        <f xml:space="preserve"> Tableau1[[#This Row],[C]] - 0.5 * (-50) * (Tableau1[[#This Row],[P]] - $P$4)</f>
        <v>1194.0699212756488</v>
      </c>
    </row>
    <row r="143" spans="2:13" x14ac:dyDescent="0.3">
      <c r="B143">
        <v>141</v>
      </c>
      <c r="C143">
        <f t="shared" si="2"/>
        <v>0.94431444308625268</v>
      </c>
      <c r="D143">
        <f>Tableau1[[#This Row],[d1]]-$R$4*SQRT($O$4)</f>
        <v>4.4314443086252653E-2</v>
      </c>
      <c r="E143">
        <f>NORMSDIST(Tableau1[[#This Row],[d1]])</f>
        <v>0.82749550626204238</v>
      </c>
      <c r="F143">
        <f>NORMSDIST(Tableau1[[#This Row],[d2]])</f>
        <v>0.51767312046675995</v>
      </c>
      <c r="G143">
        <f>Tableau1[[#This Row],[P]]*Tableau1[[#This Row],[N(d1)]]-$P$4*EXP(-$N$4*$O$4)*Tableau1[[#This Row],[N(d2)]]</f>
        <v>69.896405459144916</v>
      </c>
      <c r="L143">
        <f>MAX(Tableau1[[#This Row],[P]]-$P$4)-Tableau1[[#This Row],[C]]</f>
        <v>-23.896405459144916</v>
      </c>
      <c r="M143">
        <f xml:space="preserve"> Tableau1[[#This Row],[C]] - 0.5 * (-50) * (Tableau1[[#This Row],[P]] - $P$4)</f>
        <v>1219.8964054591449</v>
      </c>
    </row>
    <row r="144" spans="2:13" x14ac:dyDescent="0.3">
      <c r="B144">
        <v>142</v>
      </c>
      <c r="C144">
        <f t="shared" si="2"/>
        <v>0.95216685111191102</v>
      </c>
      <c r="D144">
        <f>Tableau1[[#This Row],[d1]]-$R$4*SQRT($O$4)</f>
        <v>5.2166851111910995E-2</v>
      </c>
      <c r="E144">
        <f>NORMSDIST(Tableau1[[#This Row],[d1]])</f>
        <v>0.82949381518611442</v>
      </c>
      <c r="F144">
        <f>NORMSDIST(Tableau1[[#This Row],[d2]])</f>
        <v>0.52080212703300388</v>
      </c>
      <c r="G144">
        <f>Tableau1[[#This Row],[P]]*Tableau1[[#This Row],[N(d1)]]-$P$4*EXP(-$N$4*$O$4)*Tableau1[[#This Row],[N(d2)]]</f>
        <v>70.724902536674819</v>
      </c>
      <c r="L144">
        <f>MAX(Tableau1[[#This Row],[P]]-$P$4)-Tableau1[[#This Row],[C]]</f>
        <v>-23.724902536674819</v>
      </c>
      <c r="M144">
        <f xml:space="preserve"> Tableau1[[#This Row],[C]] - 0.5 * (-50) * (Tableau1[[#This Row],[P]] - $P$4)</f>
        <v>1245.7249025366748</v>
      </c>
    </row>
    <row r="145" spans="2:13" x14ac:dyDescent="0.3">
      <c r="B145">
        <v>143</v>
      </c>
      <c r="C145">
        <f t="shared" si="2"/>
        <v>0.95996415406596269</v>
      </c>
      <c r="D145">
        <f>Tableau1[[#This Row],[d1]]-$R$4*SQRT($O$4)</f>
        <v>5.9964154065962672E-2</v>
      </c>
      <c r="E145">
        <f>NORMSDIST(Tableau1[[#This Row],[d1]])</f>
        <v>0.83146337195150466</v>
      </c>
      <c r="F145">
        <f>NORMSDIST(Tableau1[[#This Row],[d2]])</f>
        <v>0.52390790789776398</v>
      </c>
      <c r="G145">
        <f>Tableau1[[#This Row],[P]]*Tableau1[[#This Row],[N(d1)]]-$P$4*EXP(-$N$4*$O$4)*Tableau1[[#This Row],[N(d2)]]</f>
        <v>71.555383505573673</v>
      </c>
      <c r="L145">
        <f>MAX(Tableau1[[#This Row],[P]]-$P$4)-Tableau1[[#This Row],[C]]</f>
        <v>-23.555383505573673</v>
      </c>
      <c r="M145">
        <f xml:space="preserve"> Tableau1[[#This Row],[C]] - 0.5 * (-50) * (Tableau1[[#This Row],[P]] - $P$4)</f>
        <v>1271.5553835055737</v>
      </c>
    </row>
    <row r="146" spans="2:13" x14ac:dyDescent="0.3">
      <c r="B146">
        <v>144</v>
      </c>
      <c r="C146">
        <f t="shared" si="2"/>
        <v>0.96770711997273307</v>
      </c>
      <c r="D146">
        <f>Tableau1[[#This Row],[d1]]-$R$4*SQRT($O$4)</f>
        <v>6.7707119972733043E-2</v>
      </c>
      <c r="E146">
        <f>NORMSDIST(Tableau1[[#This Row],[d1]])</f>
        <v>0.83340466938185709</v>
      </c>
      <c r="F146">
        <f>NORMSDIST(Tableau1[[#This Row],[d2]])</f>
        <v>0.52699060929908703</v>
      </c>
      <c r="G146">
        <f>Tableau1[[#This Row],[P]]*Tableau1[[#This Row],[N(d1)]]-$P$4*EXP(-$N$4*$O$4)*Tableau1[[#This Row],[N(d2)]]</f>
        <v>72.387819860906561</v>
      </c>
      <c r="L146">
        <f>MAX(Tableau1[[#This Row],[P]]-$P$4)-Tableau1[[#This Row],[C]]</f>
        <v>-23.387819860906561</v>
      </c>
      <c r="M146">
        <f xml:space="preserve"> Tableau1[[#This Row],[C]] - 0.5 * (-50) * (Tableau1[[#This Row],[P]] - $P$4)</f>
        <v>1297.3878198609066</v>
      </c>
    </row>
    <row r="147" spans="2:13" x14ac:dyDescent="0.3">
      <c r="B147">
        <v>145</v>
      </c>
      <c r="C147">
        <f t="shared" si="2"/>
        <v>0.97539650091114849</v>
      </c>
      <c r="D147">
        <f>Tableau1[[#This Row],[d1]]-$R$4*SQRT($O$4)</f>
        <v>7.5396500911148467E-2</v>
      </c>
      <c r="E147">
        <f>NORMSDIST(Tableau1[[#This Row],[d1]])</f>
        <v>0.83531819066136948</v>
      </c>
      <c r="F147">
        <f>NORMSDIST(Tableau1[[#This Row],[d2]])</f>
        <v>0.53005037842213898</v>
      </c>
      <c r="G147">
        <f>Tableau1[[#This Row],[P]]*Tableau1[[#This Row],[N(d1)]]-$P$4*EXP(-$N$4*$O$4)*Tableau1[[#This Row],[N(d2)]]</f>
        <v>73.222183585725261</v>
      </c>
      <c r="L147">
        <f>MAX(Tableau1[[#This Row],[P]]-$P$4)-Tableau1[[#This Row],[C]]</f>
        <v>-23.222183585725261</v>
      </c>
      <c r="M147">
        <f xml:space="preserve"> Tableau1[[#This Row],[C]] - 0.5 * (-50) * (Tableau1[[#This Row],[P]] - $P$4)</f>
        <v>1323.2221835857254</v>
      </c>
    </row>
    <row r="148" spans="2:13" x14ac:dyDescent="0.3">
      <c r="B148">
        <v>146</v>
      </c>
      <c r="C148">
        <f t="shared" si="2"/>
        <v>0.98303303345310611</v>
      </c>
      <c r="D148">
        <f>Tableau1[[#This Row],[d1]]-$R$4*SQRT($O$4)</f>
        <v>8.3033033453106087E-2</v>
      </c>
      <c r="E148">
        <f>NORMSDIST(Tableau1[[#This Row],[d1]])</f>
        <v>0.83720440953847819</v>
      </c>
      <c r="F148">
        <f>NORMSDIST(Tableau1[[#This Row],[d2]])</f>
        <v>0.53308736330047368</v>
      </c>
      <c r="G148">
        <f>Tableau1[[#This Row],[P]]*Tableau1[[#This Row],[N(d1)]]-$P$4*EXP(-$N$4*$O$4)*Tableau1[[#This Row],[N(d2)]]</f>
        <v>74.058447141531104</v>
      </c>
      <c r="L148">
        <f>MAX(Tableau1[[#This Row],[P]]-$P$4)-Tableau1[[#This Row],[C]]</f>
        <v>-23.058447141531104</v>
      </c>
      <c r="M148">
        <f xml:space="preserve"> Tableau1[[#This Row],[C]] - 0.5 * (-50) * (Tableau1[[#This Row],[P]] - $P$4)</f>
        <v>1349.0584471415311</v>
      </c>
    </row>
    <row r="149" spans="2:13" x14ac:dyDescent="0.3">
      <c r="B149">
        <v>147</v>
      </c>
      <c r="C149">
        <f t="shared" si="2"/>
        <v>0.99061743908688382</v>
      </c>
      <c r="D149">
        <f>Tableau1[[#This Row],[d1]]-$R$4*SQRT($O$4)</f>
        <v>9.06174390868838E-2</v>
      </c>
      <c r="E149">
        <f>NORMSDIST(Tableau1[[#This Row],[d1]])</f>
        <v>0.8390637905253423</v>
      </c>
      <c r="F149">
        <f>NORMSDIST(Tableau1[[#This Row],[d2]])</f>
        <v>0.53610171272176221</v>
      </c>
      <c r="G149">
        <f>Tableau1[[#This Row],[P]]*Tableau1[[#This Row],[N(d1)]]-$P$4*EXP(-$N$4*$O$4)*Tableau1[[#This Row],[N(d2)]]</f>
        <v>74.896583458939261</v>
      </c>
      <c r="L149">
        <f>MAX(Tableau1[[#This Row],[P]]-$P$4)-Tableau1[[#This Row],[C]]</f>
        <v>-22.896583458939261</v>
      </c>
      <c r="M149">
        <f xml:space="preserve"> Tableau1[[#This Row],[C]] - 0.5 * (-50) * (Tableau1[[#This Row],[P]] - $P$4)</f>
        <v>1374.8965834589392</v>
      </c>
    </row>
    <row r="150" spans="2:13" x14ac:dyDescent="0.3">
      <c r="B150">
        <v>148</v>
      </c>
      <c r="C150">
        <f t="shared" si="2"/>
        <v>0.99815042462619352</v>
      </c>
      <c r="D150">
        <f>Tableau1[[#This Row],[d1]]-$R$4*SQRT($O$4)</f>
        <v>9.81504246261935E-2</v>
      </c>
      <c r="E150">
        <f>NORMSDIST(Tableau1[[#This Row],[d1]])</f>
        <v>0.84089678909318433</v>
      </c>
      <c r="F150">
        <f>NORMSDIST(Tableau1[[#This Row],[d2]])</f>
        <v>0.53909357613779618</v>
      </c>
      <c r="G150">
        <f>Tableau1[[#This Row],[P]]*Tableau1[[#This Row],[N(d1)]]-$P$4*EXP(-$N$4*$O$4)*Tableau1[[#This Row],[N(d2)]]</f>
        <v>75.736565928540443</v>
      </c>
      <c r="L150">
        <f>MAX(Tableau1[[#This Row],[P]]-$P$4)-Tableau1[[#This Row],[C]]</f>
        <v>-22.736565928540443</v>
      </c>
      <c r="M150">
        <f xml:space="preserve"> Tableau1[[#This Row],[C]] - 0.5 * (-50) * (Tableau1[[#This Row],[P]] - $P$4)</f>
        <v>1400.7365659285404</v>
      </c>
    </row>
    <row r="151" spans="2:13" x14ac:dyDescent="0.3">
      <c r="B151">
        <v>149</v>
      </c>
      <c r="C151">
        <f t="shared" si="2"/>
        <v>1.0056326826054647</v>
      </c>
      <c r="D151">
        <f>Tableau1[[#This Row],[d1]]-$R$4*SQRT($O$4)</f>
        <v>0.10563268260546466</v>
      </c>
      <c r="E151">
        <f>NORMSDIST(Tableau1[[#This Row],[d1]])</f>
        <v>0.84270385186354813</v>
      </c>
      <c r="F151">
        <f>NORMSDIST(Tableau1[[#This Row],[d2]])</f>
        <v>0.54206310357858967</v>
      </c>
      <c r="G151">
        <f>Tableau1[[#This Row],[P]]*Tableau1[[#This Row],[N(d1)]]-$P$4*EXP(-$N$4*$O$4)*Tableau1[[#This Row],[N(d2)]]</f>
        <v>76.578368391956062</v>
      </c>
      <c r="L151">
        <f>MAX(Tableau1[[#This Row],[P]]-$P$4)-Tableau1[[#This Row],[C]]</f>
        <v>-22.578368391956062</v>
      </c>
      <c r="M151">
        <f xml:space="preserve"> Tableau1[[#This Row],[C]] - 0.5 * (-50) * (Tableau1[[#This Row],[P]] - $P$4)</f>
        <v>1426.578368391956</v>
      </c>
    </row>
    <row r="152" spans="2:13" x14ac:dyDescent="0.3">
      <c r="B152">
        <v>150</v>
      </c>
      <c r="C152">
        <f t="shared" si="2"/>
        <v>1.0130648916619054</v>
      </c>
      <c r="D152">
        <f>Tableau1[[#This Row],[d1]]-$R$4*SQRT($O$4)</f>
        <v>0.11306489166190536</v>
      </c>
      <c r="E152">
        <f>NORMSDIST(Tableau1[[#This Row],[d1]])</f>
        <v>0.8444854167955349</v>
      </c>
      <c r="F152">
        <f>NORMSDIST(Tableau1[[#This Row],[d2]])</f>
        <v>0.54501044557041156</v>
      </c>
      <c r="G152">
        <f>Tableau1[[#This Row],[P]]*Tableau1[[#This Row],[N(d1)]]-$P$4*EXP(-$N$4*$O$4)*Tableau1[[#This Row],[N(d2)]]</f>
        <v>77.42196513308231</v>
      </c>
      <c r="L152">
        <f>MAX(Tableau1[[#This Row],[P]]-$P$4)-Tableau1[[#This Row],[C]]</f>
        <v>-22.42196513308231</v>
      </c>
      <c r="M152">
        <f xml:space="preserve"> Tableau1[[#This Row],[C]] - 0.5 * (-50) * (Tableau1[[#This Row],[P]] - $P$4)</f>
        <v>1452.4219651330823</v>
      </c>
    </row>
    <row r="153" spans="2:13" x14ac:dyDescent="0.3">
      <c r="B153">
        <v>151</v>
      </c>
      <c r="C153">
        <f t="shared" si="2"/>
        <v>1.0204477169048707</v>
      </c>
      <c r="D153">
        <f>Tableau1[[#This Row],[d1]]-$R$4*SQRT($O$4)</f>
        <v>0.12044771690487066</v>
      </c>
      <c r="E153">
        <f>NORMSDIST(Tableau1[[#This Row],[d1]])</f>
        <v>0.84624191336908083</v>
      </c>
      <c r="F153">
        <f>NORMSDIST(Tableau1[[#This Row],[d2]])</f>
        <v>0.54793575305758302</v>
      </c>
      <c r="G153">
        <f>Tableau1[[#This Row],[P]]*Tableau1[[#This Row],[N(d1)]]-$P$4*EXP(-$N$4*$O$4)*Tableau1[[#This Row],[N(d2)]]</f>
        <v>78.267330869519853</v>
      </c>
      <c r="L153">
        <f>MAX(Tableau1[[#This Row],[P]]-$P$4)-Tableau1[[#This Row],[C]]</f>
        <v>-22.267330869519853</v>
      </c>
      <c r="M153">
        <f xml:space="preserve"> Tableau1[[#This Row],[C]] - 0.5 * (-50) * (Tableau1[[#This Row],[P]] - $P$4)</f>
        <v>1478.2673308695198</v>
      </c>
    </row>
    <row r="154" spans="2:13" x14ac:dyDescent="0.3">
      <c r="B154">
        <v>152</v>
      </c>
      <c r="C154">
        <f t="shared" si="2"/>
        <v>1.0277818102730396</v>
      </c>
      <c r="D154">
        <f>Tableau1[[#This Row],[d1]]-$R$4*SQRT($O$4)</f>
        <v>0.12778181027303959</v>
      </c>
      <c r="E154">
        <f>NORMSDIST(Tableau1[[#This Row],[d1]])</f>
        <v>0.84797376276433967</v>
      </c>
      <c r="F154">
        <f>NORMSDIST(Tableau1[[#This Row],[d2]])</f>
        <v>0.5508391773278869</v>
      </c>
      <c r="G154">
        <f>Tableau1[[#This Row],[P]]*Tableau1[[#This Row],[N(d1)]]-$P$4*EXP(-$N$4*$O$4)*Tableau1[[#This Row],[N(d2)]]</f>
        <v>79.114440744184634</v>
      </c>
      <c r="L154">
        <f>MAX(Tableau1[[#This Row],[P]]-$P$4)-Tableau1[[#This Row],[C]]</f>
        <v>-22.114440744184634</v>
      </c>
      <c r="M154">
        <f xml:space="preserve"> Tableau1[[#This Row],[C]] - 0.5 * (-50) * (Tableau1[[#This Row],[P]] - $P$4)</f>
        <v>1504.1144407441845</v>
      </c>
    </row>
    <row r="155" spans="2:13" x14ac:dyDescent="0.3">
      <c r="B155">
        <v>153</v>
      </c>
      <c r="C155">
        <f t="shared" si="2"/>
        <v>1.0350678108798828</v>
      </c>
      <c r="D155">
        <f>Tableau1[[#This Row],[d1]]-$R$4*SQRT($O$4)</f>
        <v>0.13506781087988273</v>
      </c>
      <c r="E155">
        <f>NORMSDIST(Tableau1[[#This Row],[d1]])</f>
        <v>0.84968137803723565</v>
      </c>
      <c r="F155">
        <f>NORMSDIST(Tableau1[[#This Row],[d2]])</f>
        <v>0.55372086994144043</v>
      </c>
      <c r="G155">
        <f>Tableau1[[#This Row],[P]]*Tableau1[[#This Row],[N(d1)]]-$P$4*EXP(-$N$4*$O$4)*Tableau1[[#This Row],[N(d2)]]</f>
        <v>79.963270317096118</v>
      </c>
      <c r="L155">
        <f>MAX(Tableau1[[#This Row],[P]]-$P$4)-Tableau1[[#This Row],[C]]</f>
        <v>-21.963270317096118</v>
      </c>
      <c r="M155">
        <f xml:space="preserve"> Tableau1[[#This Row],[C]] - 0.5 * (-50) * (Tableau1[[#This Row],[P]] - $P$4)</f>
        <v>1529.9632703170962</v>
      </c>
    </row>
    <row r="156" spans="2:13" x14ac:dyDescent="0.3">
      <c r="B156">
        <v>154</v>
      </c>
      <c r="C156">
        <f t="shared" si="2"/>
        <v>1.0423063453478758</v>
      </c>
      <c r="D156">
        <f>Tableau1[[#This Row],[d1]]-$R$4*SQRT($O$4)</f>
        <v>0.14230634534787578</v>
      </c>
      <c r="E156">
        <f>NORMSDIST(Tableau1[[#This Row],[d1]])</f>
        <v>0.85136516429125264</v>
      </c>
      <c r="F156">
        <f>NORMSDIST(Tableau1[[#This Row],[d2]])</f>
        <v>0.55658098266288603</v>
      </c>
      <c r="G156">
        <f>Tableau1[[#This Row],[P]]*Tableau1[[#This Row],[N(d1)]]-$P$4*EXP(-$N$4*$O$4)*Tableau1[[#This Row],[N(d2)]]</f>
        <v>80.813795557339304</v>
      </c>
      <c r="L156">
        <f>MAX(Tableau1[[#This Row],[P]]-$P$4)-Tableau1[[#This Row],[C]]</f>
        <v>-21.813795557339304</v>
      </c>
      <c r="M156">
        <f xml:space="preserve"> Tableau1[[#This Row],[C]] - 0.5 * (-50) * (Tableau1[[#This Row],[P]] - $P$4)</f>
        <v>1555.8137955573393</v>
      </c>
    </row>
    <row r="157" spans="2:13" x14ac:dyDescent="0.3">
      <c r="B157">
        <v>155</v>
      </c>
      <c r="C157">
        <f t="shared" si="2"/>
        <v>1.0494980281318953</v>
      </c>
      <c r="D157">
        <f>Tableau1[[#This Row],[d1]]-$R$4*SQRT($O$4)</f>
        <v>0.14949802813189528</v>
      </c>
      <c r="E157">
        <f>NORMSDIST(Tableau1[[#This Row],[d1]])</f>
        <v>0.85302551884552413</v>
      </c>
      <c r="F157">
        <f>NORMSDIST(Tableau1[[#This Row],[d2]])</f>
        <v>0.55941966739676519</v>
      </c>
      <c r="G157">
        <f>Tableau1[[#This Row],[P]]*Tableau1[[#This Row],[N(d1)]]-$P$4*EXP(-$N$4*$O$4)*Tableau1[[#This Row],[N(d2)]]</f>
        <v>81.665992835196704</v>
      </c>
      <c r="L157">
        <f>MAX(Tableau1[[#This Row],[P]]-$P$4)-Tableau1[[#This Row],[C]]</f>
        <v>-21.665992835196704</v>
      </c>
      <c r="M157">
        <f xml:space="preserve"> Tableau1[[#This Row],[C]] - 0.5 * (-50) * (Tableau1[[#This Row],[P]] - $P$4)</f>
        <v>1581.6659928351967</v>
      </c>
    </row>
    <row r="158" spans="2:13" x14ac:dyDescent="0.3">
      <c r="B158">
        <v>156</v>
      </c>
      <c r="C158">
        <f t="shared" si="2"/>
        <v>1.056643461832218</v>
      </c>
      <c r="D158">
        <f>Tableau1[[#This Row],[d1]]-$R$4*SQRT($O$4)</f>
        <v>0.156643461832218</v>
      </c>
      <c r="E158">
        <f>NORMSDIST(Tableau1[[#This Row],[d1]])</f>
        <v>0.85466283139929256</v>
      </c>
      <c r="F158">
        <f>NORMSDIST(Tableau1[[#This Row],[d2]])</f>
        <v>0.56223707612594298</v>
      </c>
      <c r="G158">
        <f>Tableau1[[#This Row],[P]]*Tableau1[[#This Row],[N(d1)]]-$P$4*EXP(-$N$4*$O$4)*Tableau1[[#This Row],[N(d2)]]</f>
        <v>82.519838914446382</v>
      </c>
      <c r="L158">
        <f>MAX(Tableau1[[#This Row],[P]]-$P$4)-Tableau1[[#This Row],[C]]</f>
        <v>-21.519838914446382</v>
      </c>
      <c r="M158">
        <f xml:space="preserve"> Tableau1[[#This Row],[C]] - 0.5 * (-50) * (Tableau1[[#This Row],[P]] - $P$4)</f>
        <v>1607.5198389144464</v>
      </c>
    </row>
    <row r="159" spans="2:13" x14ac:dyDescent="0.3">
      <c r="B159">
        <v>157</v>
      </c>
      <c r="C159">
        <f t="shared" si="2"/>
        <v>1.0637432374975191</v>
      </c>
      <c r="D159">
        <f>Tableau1[[#This Row],[d1]]-$R$4*SQRT($O$4)</f>
        <v>0.16374323749751907</v>
      </c>
      <c r="E159">
        <f>NORMSDIST(Tableau1[[#This Row],[d1]])</f>
        <v>0.85627748419280314</v>
      </c>
      <c r="F159">
        <f>NORMSDIST(Tableau1[[#This Row],[d2]])</f>
        <v>0.56503336085295897</v>
      </c>
      <c r="G159">
        <f>Tableau1[[#This Row],[P]]*Tableau1[[#This Row],[N(d1)]]-$P$4*EXP(-$N$4*$O$4)*Tableau1[[#This Row],[N(d2)]]</f>
        <v>83.375310944822985</v>
      </c>
      <c r="L159">
        <f>MAX(Tableau1[[#This Row],[P]]-$P$4)-Tableau1[[#This Row],[C]]</f>
        <v>-21.375310944822985</v>
      </c>
      <c r="M159">
        <f xml:space="preserve"> Tableau1[[#This Row],[C]] - 0.5 * (-50) * (Tableau1[[#This Row],[P]] - $P$4)</f>
        <v>1633.375310944823</v>
      </c>
    </row>
    <row r="160" spans="2:13" x14ac:dyDescent="0.3">
      <c r="B160">
        <v>158</v>
      </c>
      <c r="C160">
        <f t="shared" si="2"/>
        <v>1.070797934918251</v>
      </c>
      <c r="D160">
        <f>Tableau1[[#This Row],[d1]]-$R$4*SQRT($O$4)</f>
        <v>0.17079793491825102</v>
      </c>
      <c r="E160">
        <f>NORMSDIST(Tableau1[[#This Row],[d1]])</f>
        <v>0.85786985216469847</v>
      </c>
      <c r="F160">
        <f>NORMSDIST(Tableau1[[#This Row],[d2]])</f>
        <v>0.56780867354418152</v>
      </c>
      <c r="G160">
        <f>Tableau1[[#This Row],[P]]*Tableau1[[#This Row],[N(d1)]]-$P$4*EXP(-$N$4*$O$4)*Tableau1[[#This Row],[N(d2)]]</f>
        <v>84.232386454637521</v>
      </c>
      <c r="L160">
        <f>MAX(Tableau1[[#This Row],[P]]-$P$4)-Tableau1[[#This Row],[C]]</f>
        <v>-21.232386454637521</v>
      </c>
      <c r="M160">
        <f xml:space="preserve"> Tableau1[[#This Row],[C]] - 0.5 * (-50) * (Tableau1[[#This Row],[P]] - $P$4)</f>
        <v>1659.2323864546374</v>
      </c>
    </row>
    <row r="161" spans="2:13" x14ac:dyDescent="0.3">
      <c r="B161">
        <v>159</v>
      </c>
      <c r="C161">
        <f t="shared" si="2"/>
        <v>1.0778081229107677</v>
      </c>
      <c r="D161">
        <f>Tableau1[[#This Row],[d1]]-$R$4*SQRT($O$4)</f>
        <v>0.17780812291076764</v>
      </c>
      <c r="E161">
        <f>NORMSDIST(Tableau1[[#This Row],[d1]])</f>
        <v>0.85944030310598185</v>
      </c>
      <c r="F161">
        <f>NORMSDIST(Tableau1[[#This Row],[d2]])</f>
        <v>0.5705631660766517</v>
      </c>
      <c r="G161">
        <f>Tableau1[[#This Row],[P]]*Tableau1[[#This Row],[N(d1)]]-$P$4*EXP(-$N$4*$O$4)*Tableau1[[#This Row],[N(d2)]]</f>
        <v>85.091043343553238</v>
      </c>
      <c r="L161">
        <f>MAX(Tableau1[[#This Row],[P]]-$P$4)-Tableau1[[#This Row],[C]]</f>
        <v>-21.091043343553238</v>
      </c>
      <c r="M161">
        <f xml:space="preserve"> Tableau1[[#This Row],[C]] - 0.5 * (-50) * (Tableau1[[#This Row],[P]] - $P$4)</f>
        <v>1685.0910433435533</v>
      </c>
    </row>
    <row r="162" spans="2:13" x14ac:dyDescent="0.3">
      <c r="B162">
        <v>160</v>
      </c>
      <c r="C162">
        <f t="shared" si="2"/>
        <v>1.0847743595925401</v>
      </c>
      <c r="D162">
        <f>Tableau1[[#This Row],[d1]]-$R$4*SQRT($O$4)</f>
        <v>0.18477435959254007</v>
      </c>
      <c r="E162">
        <f>NORMSDIST(Tableau1[[#This Row],[d1]])</f>
        <v>0.86098919781061434</v>
      </c>
      <c r="F162">
        <f>NORMSDIST(Tableau1[[#This Row],[d2]])</f>
        <v>0.57329699018750468</v>
      </c>
      <c r="G162">
        <f>Tableau1[[#This Row],[P]]*Tableau1[[#This Row],[N(d1)]]-$P$4*EXP(-$N$4*$O$4)*Tableau1[[#This Row],[N(d2)]]</f>
        <v>85.951259875513387</v>
      </c>
      <c r="L162">
        <f>MAX(Tableau1[[#This Row],[P]]-$P$4)-Tableau1[[#This Row],[C]]</f>
        <v>-20.951259875513387</v>
      </c>
      <c r="M162">
        <f xml:space="preserve"> Tableau1[[#This Row],[C]] - 0.5 * (-50) * (Tableau1[[#This Row],[P]] - $P$4)</f>
        <v>1710.9512598755134</v>
      </c>
    </row>
    <row r="163" spans="2:13" x14ac:dyDescent="0.3">
      <c r="B163">
        <v>161</v>
      </c>
      <c r="C163">
        <f t="shared" si="2"/>
        <v>1.0916971926488024</v>
      </c>
      <c r="D163">
        <f>Tableau1[[#This Row],[d1]]-$R$4*SQRT($O$4)</f>
        <v>0.19169719264880236</v>
      </c>
      <c r="E163">
        <f>NORMSDIST(Tableau1[[#This Row],[d1]])</f>
        <v>0.86251689022281131</v>
      </c>
      <c r="F163">
        <f>NORMSDIST(Tableau1[[#This Row],[d2]])</f>
        <v>0.5760102974258634</v>
      </c>
      <c r="G163">
        <f>Tableau1[[#This Row],[P]]*Tableau1[[#This Row],[N(d1)]]-$P$4*EXP(-$N$4*$O$4)*Tableau1[[#This Row],[N(d2)]]</f>
        <v>86.813014671818166</v>
      </c>
      <c r="L163">
        <f>MAX(Tableau1[[#This Row],[P]]-$P$4)-Tableau1[[#This Row],[C]]</f>
        <v>-20.813014671818166</v>
      </c>
      <c r="M163">
        <f xml:space="preserve"> Tableau1[[#This Row],[C]] - 0.5 * (-50) * (Tableau1[[#This Row],[P]] - $P$4)</f>
        <v>1736.8130146718181</v>
      </c>
    </row>
    <row r="164" spans="2:13" x14ac:dyDescent="0.3">
      <c r="B164">
        <v>162</v>
      </c>
      <c r="C164">
        <f t="shared" si="2"/>
        <v>1.0985771595909368</v>
      </c>
      <c r="D164">
        <f>Tableau1[[#This Row],[d1]]-$R$4*SQRT($O$4)</f>
        <v>0.1985771595909368</v>
      </c>
      <c r="E164">
        <f>NORMSDIST(Tableau1[[#This Row],[d1]])</f>
        <v>0.86402372758110602</v>
      </c>
      <c r="F164">
        <f>NORMSDIST(Tableau1[[#This Row],[d2]])</f>
        <v>0.5787032391071002</v>
      </c>
      <c r="G164">
        <f>Tableau1[[#This Row],[P]]*Tableau1[[#This Row],[N(d1)]]-$P$4*EXP(-$N$4*$O$4)*Tableau1[[#This Row],[N(d2)]]</f>
        <v>87.676286704347291</v>
      </c>
      <c r="L164">
        <f>MAX(Tableau1[[#This Row],[P]]-$P$4)-Tableau1[[#This Row],[C]]</f>
        <v>-20.676286704347291</v>
      </c>
      <c r="M164">
        <f xml:space="preserve"> Tableau1[[#This Row],[C]] - 0.5 * (-50) * (Tableau1[[#This Row],[P]] - $P$4)</f>
        <v>1762.6762867043474</v>
      </c>
    </row>
    <row r="165" spans="2:13" x14ac:dyDescent="0.3">
      <c r="B165">
        <v>163</v>
      </c>
      <c r="C165">
        <f t="shared" si="2"/>
        <v>1.1054147880069127</v>
      </c>
      <c r="D165">
        <f>Tableau1[[#This Row],[d1]]-$R$4*SQRT($O$4)</f>
        <v>0.20541478800691271</v>
      </c>
      <c r="E165">
        <f>NORMSDIST(Tableau1[[#This Row],[d1]])</f>
        <v>0.86551005055924168</v>
      </c>
      <c r="F165">
        <f>NORMSDIST(Tableau1[[#This Row],[d2]])</f>
        <v>0.58137596626937227</v>
      </c>
      <c r="G165">
        <f>Tableau1[[#This Row],[P]]*Tableau1[[#This Row],[N(d1)]]-$P$4*EXP(-$N$4*$O$4)*Tableau1[[#This Row],[N(d2)]]</f>
        <v>88.541055288925037</v>
      </c>
      <c r="L165">
        <f>MAX(Tableau1[[#This Row],[P]]-$P$4)-Tableau1[[#This Row],[C]]</f>
        <v>-20.541055288925037</v>
      </c>
      <c r="M165">
        <f xml:space="preserve"> Tableau1[[#This Row],[C]] - 0.5 * (-50) * (Tableau1[[#This Row],[P]] - $P$4)</f>
        <v>1788.541055288925</v>
      </c>
    </row>
    <row r="166" spans="2:13" x14ac:dyDescent="0.3">
      <c r="B166">
        <v>164</v>
      </c>
      <c r="C166">
        <f t="shared" si="2"/>
        <v>1.112210595804064</v>
      </c>
      <c r="D166">
        <f>Tableau1[[#This Row],[d1]]-$R$4*SQRT($O$4)</f>
        <v>0.21221059580406398</v>
      </c>
      <c r="E166">
        <f>NORMSDIST(Tableau1[[#This Row],[d1]])</f>
        <v>0.86697619340396015</v>
      </c>
      <c r="F166">
        <f>NORMSDIST(Tableau1[[#This Row],[d2]])</f>
        <v>0.58402862963233249</v>
      </c>
      <c r="G166">
        <f>Tableau1[[#This Row],[P]]*Tableau1[[#This Row],[N(d1)]]-$P$4*EXP(-$N$4*$O$4)*Tableau1[[#This Row],[N(d2)]]</f>
        <v>89.407300078824562</v>
      </c>
      <c r="L166">
        <f>MAX(Tableau1[[#This Row],[P]]-$P$4)-Tableau1[[#This Row],[C]]</f>
        <v>-20.407300078824562</v>
      </c>
      <c r="M166">
        <f xml:space="preserve"> Tableau1[[#This Row],[C]] - 0.5 * (-50) * (Tableau1[[#This Row],[P]] - $P$4)</f>
        <v>1814.4073000788246</v>
      </c>
    </row>
    <row r="167" spans="2:13" x14ac:dyDescent="0.3">
      <c r="B167">
        <v>165</v>
      </c>
      <c r="C167">
        <f t="shared" si="2"/>
        <v>1.1189650914444886</v>
      </c>
      <c r="D167">
        <f>Tableau1[[#This Row],[d1]]-$R$4*SQRT($O$4)</f>
        <v>0.21896509144448861</v>
      </c>
      <c r="E167">
        <f>NORMSDIST(Tableau1[[#This Row],[d1]])</f>
        <v>0.86842248406974853</v>
      </c>
      <c r="F167">
        <f>NORMSDIST(Tableau1[[#This Row],[d2]])</f>
        <v>0.58666137955793007</v>
      </c>
      <c r="G167">
        <f>Tableau1[[#This Row],[P]]*Tableau1[[#This Row],[N(d1)]]-$P$4*EXP(-$N$4*$O$4)*Tableau1[[#This Row],[N(d2)]]</f>
        <v>90.275001058408463</v>
      </c>
      <c r="L167">
        <f>MAX(Tableau1[[#This Row],[P]]-$P$4)-Tableau1[[#This Row],[C]]</f>
        <v>-20.275001058408463</v>
      </c>
      <c r="M167">
        <f xml:space="preserve"> Tableau1[[#This Row],[C]] - 0.5 * (-50) * (Tableau1[[#This Row],[P]] - $P$4)</f>
        <v>1840.2750010584084</v>
      </c>
    </row>
    <row r="168" spans="2:13" x14ac:dyDescent="0.3">
      <c r="B168">
        <v>166</v>
      </c>
      <c r="C168">
        <f t="shared" si="2"/>
        <v>1.1256787741733361</v>
      </c>
      <c r="D168">
        <f>Tableau1[[#This Row],[d1]]-$R$4*SQRT($O$4)</f>
        <v>0.22567877417333604</v>
      </c>
      <c r="E168">
        <f>NORMSDIST(Tableau1[[#This Row],[d1]])</f>
        <v>0.86984924435060806</v>
      </c>
      <c r="F168">
        <f>NORMSDIST(Tableau1[[#This Row],[d2]])</f>
        <v>0.58927436601321159</v>
      </c>
      <c r="G168">
        <f>Tableau1[[#This Row],[P]]*Tableau1[[#This Row],[N(d1)]]-$P$4*EXP(-$N$4*$O$4)*Tableau1[[#This Row],[N(d2)]]</f>
        <v>91.144138536902744</v>
      </c>
      <c r="L168">
        <f>MAX(Tableau1[[#This Row],[P]]-$P$4)-Tableau1[[#This Row],[C]]</f>
        <v>-20.144138536902744</v>
      </c>
      <c r="M168">
        <f xml:space="preserve"> Tableau1[[#This Row],[C]] - 0.5 * (-50) * (Tableau1[[#This Row],[P]] - $P$4)</f>
        <v>1866.1441385369028</v>
      </c>
    </row>
    <row r="169" spans="2:13" x14ac:dyDescent="0.3">
      <c r="B169">
        <v>167</v>
      </c>
      <c r="C169">
        <f t="shared" si="2"/>
        <v>1.1323521342402381</v>
      </c>
      <c r="D169">
        <f>Tableau1[[#This Row],[d1]]-$R$4*SQRT($O$4)</f>
        <v>0.23235213424023804</v>
      </c>
      <c r="E169">
        <f>NORMSDIST(Tableau1[[#This Row],[d1]])</f>
        <v>0.87125679000890721</v>
      </c>
      <c r="F169">
        <f>NORMSDIST(Tableau1[[#This Row],[d2]])</f>
        <v>0.59186773853504004</v>
      </c>
      <c r="G169">
        <f>Tableau1[[#This Row],[P]]*Tableau1[[#This Row],[N(d1)]]-$P$4*EXP(-$N$4*$O$4)*Tableau1[[#This Row],[N(d2)]]</f>
        <v>92.014693142301127</v>
      </c>
      <c r="L169">
        <f>MAX(Tableau1[[#This Row],[P]]-$P$4)-Tableau1[[#This Row],[C]]</f>
        <v>-20.014693142301127</v>
      </c>
      <c r="M169">
        <f xml:space="preserve"> Tableau1[[#This Row],[C]] - 0.5 * (-50) * (Tableau1[[#This Row],[P]] - $P$4)</f>
        <v>1892.0146931423012</v>
      </c>
    </row>
    <row r="170" spans="2:13" x14ac:dyDescent="0.3">
      <c r="B170">
        <v>168</v>
      </c>
      <c r="C170">
        <f t="shared" si="2"/>
        <v>1.1389856531141311</v>
      </c>
      <c r="D170">
        <f>Tableau1[[#This Row],[d1]]-$R$4*SQRT($O$4)</f>
        <v>0.23898565311413111</v>
      </c>
      <c r="E170">
        <f>NORMSDIST(Tableau1[[#This Row],[d1]])</f>
        <v>0.8726454309013798</v>
      </c>
      <c r="F170">
        <f>NORMSDIST(Tableau1[[#This Row],[d2]])</f>
        <v>0.59444164619665474</v>
      </c>
      <c r="G170">
        <f>Tableau1[[#This Row],[P]]*Tableau1[[#This Row],[N(d1)]]-$P$4*EXP(-$N$4*$O$4)*Tableau1[[#This Row],[N(d2)]]</f>
        <v>92.886645815396207</v>
      </c>
      <c r="L170">
        <f>MAX(Tableau1[[#This Row],[P]]-$P$4)-Tableau1[[#This Row],[C]]</f>
        <v>-19.886645815396207</v>
      </c>
      <c r="M170">
        <f xml:space="preserve"> Tableau1[[#This Row],[C]] - 0.5 * (-50) * (Tableau1[[#This Row],[P]] - $P$4)</f>
        <v>1917.8866458153962</v>
      </c>
    </row>
    <row r="171" spans="2:13" x14ac:dyDescent="0.3">
      <c r="B171">
        <v>169</v>
      </c>
      <c r="C171">
        <f t="shared" si="2"/>
        <v>1.1455798036917029</v>
      </c>
      <c r="D171">
        <f>Tableau1[[#This Row],[d1]]-$R$4*SQRT($O$4)</f>
        <v>0.24557980369170285</v>
      </c>
      <c r="E171">
        <f>NORMSDIST(Tableau1[[#This Row],[d1]])</f>
        <v>0.87401547110233158</v>
      </c>
      <c r="F171">
        <f>NORMSDIST(Tableau1[[#This Row],[d2]])</f>
        <v>0.59699623757599252</v>
      </c>
      <c r="G171">
        <f>Tableau1[[#This Row],[P]]*Tableau1[[#This Row],[N(d1)]]-$P$4*EXP(-$N$4*$O$4)*Tableau1[[#This Row],[N(d2)]]</f>
        <v>93.759977803936252</v>
      </c>
      <c r="L171">
        <f>MAX(Tableau1[[#This Row],[P]]-$P$4)-Tableau1[[#This Row],[C]]</f>
        <v>-19.759977803936252</v>
      </c>
      <c r="M171">
        <f xml:space="preserve"> Tableau1[[#This Row],[C]] - 0.5 * (-50) * (Tableau1[[#This Row],[P]] - $P$4)</f>
        <v>1943.7599778039362</v>
      </c>
    </row>
    <row r="172" spans="2:13" x14ac:dyDescent="0.3">
      <c r="B172">
        <v>170</v>
      </c>
      <c r="C172">
        <f t="shared" si="2"/>
        <v>1.1521350504996899</v>
      </c>
      <c r="D172">
        <f>Tableau1[[#This Row],[d1]]-$R$4*SQRT($O$4)</f>
        <v>0.25213505049968987</v>
      </c>
      <c r="E172">
        <f>NORMSDIST(Tableau1[[#This Row],[d1]])</f>
        <v>0.87536720902411103</v>
      </c>
      <c r="F172">
        <f>NORMSDIST(Tableau1[[#This Row],[d2]])</f>
        <v>0.59953166072569952</v>
      </c>
      <c r="G172">
        <f>Tableau1[[#This Row],[P]]*Tableau1[[#This Row],[N(d1)]]-$P$4*EXP(-$N$4*$O$4)*Tableau1[[#This Row],[N(d2)]]</f>
        <v>94.634670656902756</v>
      </c>
      <c r="L172">
        <f>MAX(Tableau1[[#This Row],[P]]-$P$4)-Tableau1[[#This Row],[C]]</f>
        <v>-19.634670656902756</v>
      </c>
      <c r="M172">
        <f xml:space="preserve"> Tableau1[[#This Row],[C]] - 0.5 * (-50) * (Tableau1[[#This Row],[P]] - $P$4)</f>
        <v>1969.6346706569027</v>
      </c>
    </row>
    <row r="173" spans="2:13" x14ac:dyDescent="0.3">
      <c r="B173">
        <v>171</v>
      </c>
      <c r="C173">
        <f t="shared" si="2"/>
        <v>1.1586518498912435</v>
      </c>
      <c r="D173">
        <f>Tableau1[[#This Row],[d1]]-$R$4*SQRT($O$4)</f>
        <v>0.25865184989124346</v>
      </c>
      <c r="E173">
        <f>NORMSDIST(Tableau1[[#This Row],[d1]])</f>
        <v>0.8767009375349073</v>
      </c>
      <c r="F173">
        <f>NORMSDIST(Tableau1[[#This Row],[d2]])</f>
        <v>0.602048063144762</v>
      </c>
      <c r="G173">
        <f>Tableau1[[#This Row],[P]]*Tableau1[[#This Row],[N(d1)]]-$P$4*EXP(-$N$4*$O$4)*Tableau1[[#This Row],[N(d2)]]</f>
        <v>95.510706218907814</v>
      </c>
      <c r="L173">
        <f>MAX(Tableau1[[#This Row],[P]]-$P$4)-Tableau1[[#This Row],[C]]</f>
        <v>-19.510706218907814</v>
      </c>
      <c r="M173">
        <f xml:space="preserve"> Tableau1[[#This Row],[C]] - 0.5 * (-50) * (Tableau1[[#This Row],[P]] - $P$4)</f>
        <v>1995.5107062189079</v>
      </c>
    </row>
    <row r="174" spans="2:13" x14ac:dyDescent="0.3">
      <c r="B174">
        <v>172</v>
      </c>
      <c r="C174">
        <f t="shared" si="2"/>
        <v>1.1651306502365693</v>
      </c>
      <c r="D174">
        <f>Tableau1[[#This Row],[d1]]-$R$4*SQRT($O$4)</f>
        <v>0.26513065023656923</v>
      </c>
      <c r="E174">
        <f>NORMSDIST(Tableau1[[#This Row],[d1]])</f>
        <v>0.87801694407393072</v>
      </c>
      <c r="F174">
        <f>NORMSDIST(Tableau1[[#This Row],[d2]])</f>
        <v>0.60454559175169043</v>
      </c>
      <c r="G174">
        <f>Tableau1[[#This Row],[P]]*Tableau1[[#This Row],[N(d1)]]-$P$4*EXP(-$N$4*$O$4)*Tableau1[[#This Row],[N(d2)]]</f>
        <v>96.388066624707676</v>
      </c>
      <c r="L174">
        <f>MAX(Tableau1[[#This Row],[P]]-$P$4)-Tableau1[[#This Row],[C]]</f>
        <v>-19.388066624707676</v>
      </c>
      <c r="M174">
        <f xml:space="preserve"> Tableau1[[#This Row],[C]] - 0.5 * (-50) * (Tableau1[[#This Row],[P]] - $P$4)</f>
        <v>2021.3880666247078</v>
      </c>
    </row>
    <row r="175" spans="2:13" x14ac:dyDescent="0.3">
      <c r="B175">
        <v>173</v>
      </c>
      <c r="C175">
        <f t="shared" si="2"/>
        <v>1.1715718921080425</v>
      </c>
      <c r="D175">
        <f>Tableau1[[#This Row],[d1]]-$R$4*SQRT($O$4)</f>
        <v>0.27157189210804245</v>
      </c>
      <c r="E175">
        <f>NORMSDIST(Tableau1[[#This Row],[d1]])</f>
        <v>0.87931551076403514</v>
      </c>
      <c r="F175">
        <f>NORMSDIST(Tableau1[[#This Row],[d2]])</f>
        <v>0.60702439285919008</v>
      </c>
      <c r="G175">
        <f>Tableau1[[#This Row],[P]]*Tableau1[[#This Row],[N(d1)]]-$P$4*EXP(-$N$4*$O$4)*Tableau1[[#This Row],[N(d2)]]</f>
        <v>97.266734293830524</v>
      </c>
      <c r="L175">
        <f>MAX(Tableau1[[#This Row],[P]]-$P$4)-Tableau1[[#This Row],[C]]</f>
        <v>-19.266734293830524</v>
      </c>
      <c r="M175">
        <f xml:space="preserve"> Tableau1[[#This Row],[C]] - 0.5 * (-50) * (Tableau1[[#This Row],[P]] - $P$4)</f>
        <v>2047.2667342938305</v>
      </c>
    </row>
    <row r="176" spans="2:13" x14ac:dyDescent="0.3">
      <c r="B176">
        <v>174</v>
      </c>
      <c r="C176">
        <f t="shared" si="2"/>
        <v>1.1779760084599868</v>
      </c>
      <c r="D176">
        <f>Tableau1[[#This Row],[d1]]-$R$4*SQRT($O$4)</f>
        <v>0.27797600845998682</v>
      </c>
      <c r="E176">
        <f>NORMSDIST(Tableau1[[#This Row],[d1]])</f>
        <v>0.88059691452183575</v>
      </c>
      <c r="F176">
        <f>NORMSDIST(Tableau1[[#This Row],[d2]])</f>
        <v>0.60948461215025818</v>
      </c>
      <c r="G176">
        <f>Tableau1[[#This Row],[P]]*Tableau1[[#This Row],[N(d1)]]-$P$4*EXP(-$N$4*$O$4)*Tableau1[[#This Row],[N(d2)]]</f>
        <v>98.146691925314968</v>
      </c>
      <c r="L176">
        <f>MAX(Tableau1[[#This Row],[P]]-$P$4)-Tableau1[[#This Row],[C]]</f>
        <v>-19.146691925314968</v>
      </c>
      <c r="M176">
        <f xml:space="preserve"> Tableau1[[#This Row],[C]] - 0.5 * (-50) * (Tableau1[[#This Row],[P]] - $P$4)</f>
        <v>2073.1466919253148</v>
      </c>
    </row>
    <row r="177" spans="2:13" x14ac:dyDescent="0.3">
      <c r="B177">
        <v>175</v>
      </c>
      <c r="C177">
        <f t="shared" si="2"/>
        <v>1.1843434248033033</v>
      </c>
      <c r="D177">
        <f>Tableau1[[#This Row],[d1]]-$R$4*SQRT($O$4)</f>
        <v>0.28434342480330332</v>
      </c>
      <c r="E177">
        <f>NORMSDIST(Tableau1[[#This Row],[d1]])</f>
        <v>0.88186142716538074</v>
      </c>
      <c r="F177">
        <f>NORMSDIST(Tableau1[[#This Row],[d2]])</f>
        <v>0.61192639465564724</v>
      </c>
      <c r="G177">
        <f>Tableau1[[#This Row],[P]]*Tableau1[[#This Row],[N(d1)]]-$P$4*EXP(-$N$4*$O$4)*Tableau1[[#This Row],[N(d2)]]</f>
        <v>99.027922492558275</v>
      </c>
      <c r="L177">
        <f>MAX(Tableau1[[#This Row],[P]]-$P$4)-Tableau1[[#This Row],[C]]</f>
        <v>-19.027922492558275</v>
      </c>
      <c r="M177">
        <f xml:space="preserve"> Tableau1[[#This Row],[C]] - 0.5 * (-50) * (Tableau1[[#This Row],[P]] - $P$4)</f>
        <v>2099.0279224925584</v>
      </c>
    </row>
    <row r="178" spans="2:13" x14ac:dyDescent="0.3">
      <c r="B178">
        <v>176</v>
      </c>
      <c r="C178">
        <f t="shared" si="2"/>
        <v>1.1906745593751231</v>
      </c>
      <c r="D178">
        <f>Tableau1[[#This Row],[d1]]-$R$4*SQRT($O$4)</f>
        <v>0.2906745593751231</v>
      </c>
      <c r="E178">
        <f>NORMSDIST(Tableau1[[#This Row],[d1]])</f>
        <v>0.88310931551942817</v>
      </c>
      <c r="F178">
        <f>NORMSDIST(Tableau1[[#This Row],[d2]])</f>
        <v>0.61434988473263707</v>
      </c>
      <c r="G178">
        <f>Tableau1[[#This Row],[P]]*Tableau1[[#This Row],[N(d1)]]-$P$4*EXP(-$N$4*$O$4)*Tableau1[[#This Row],[N(d2)]]</f>
        <v>99.910409238270262</v>
      </c>
      <c r="L178">
        <f>MAX(Tableau1[[#This Row],[P]]-$P$4)-Tableau1[[#This Row],[C]]</f>
        <v>-18.910409238270262</v>
      </c>
      <c r="M178">
        <f xml:space="preserve"> Tableau1[[#This Row],[C]] - 0.5 * (-50) * (Tableau1[[#This Row],[P]] - $P$4)</f>
        <v>2124.9104092382704</v>
      </c>
    </row>
    <row r="179" spans="2:13" x14ac:dyDescent="0.3">
      <c r="B179">
        <v>177</v>
      </c>
      <c r="C179">
        <f t="shared" si="2"/>
        <v>1.1969698233036536</v>
      </c>
      <c r="D179">
        <f>Tableau1[[#This Row],[d1]]-$R$4*SQRT($O$4)</f>
        <v>0.29696982330365362</v>
      </c>
      <c r="E179">
        <f>NORMSDIST(Tableau1[[#This Row],[d1]])</f>
        <v>0.88434084151838332</v>
      </c>
      <c r="F179">
        <f>NORMSDIST(Tableau1[[#This Row],[d2]])</f>
        <v>0.61675522604506117</v>
      </c>
      <c r="G179">
        <f>Tableau1[[#This Row],[P]]*Tableau1[[#This Row],[N(d1)]]-$P$4*EXP(-$N$4*$O$4)*Tableau1[[#This Row],[N(d2)]]</f>
        <v>100.79413566953198</v>
      </c>
      <c r="L179">
        <f>MAX(Tableau1[[#This Row],[P]]-$P$4)-Tableau1[[#This Row],[C]]</f>
        <v>-18.794135669531983</v>
      </c>
      <c r="M179">
        <f xml:space="preserve"> Tableau1[[#This Row],[C]] - 0.5 * (-50) * (Tableau1[[#This Row],[P]] - $P$4)</f>
        <v>2150.7941356695319</v>
      </c>
    </row>
    <row r="180" spans="2:13" x14ac:dyDescent="0.3">
      <c r="B180">
        <v>178</v>
      </c>
      <c r="C180">
        <f t="shared" si="2"/>
        <v>1.2032296207683826</v>
      </c>
      <c r="D180">
        <f>Tableau1[[#This Row],[d1]]-$R$4*SQRT($O$4)</f>
        <v>0.30322962076838256</v>
      </c>
      <c r="E180">
        <f>NORMSDIST(Tableau1[[#This Row],[d1]])</f>
        <v>0.88555626230694828</v>
      </c>
      <c r="F180">
        <f>NORMSDIST(Tableau1[[#This Row],[d2]])</f>
        <v>0.61914256154453562</v>
      </c>
      <c r="G180">
        <f>Tableau1[[#This Row],[P]]*Tableau1[[#This Row],[N(d1)]]-$P$4*EXP(-$N$4*$O$4)*Tableau1[[#This Row],[N(d2)]]</f>
        <v>101.67908555295568</v>
      </c>
      <c r="L180">
        <f>MAX(Tableau1[[#This Row],[P]]-$P$4)-Tableau1[[#This Row],[C]]</f>
        <v>-18.679085552955684</v>
      </c>
      <c r="M180">
        <f xml:space="preserve"> Tableau1[[#This Row],[C]] - 0.5 * (-50) * (Tableau1[[#This Row],[P]] - $P$4)</f>
        <v>2176.6790855529557</v>
      </c>
    </row>
    <row r="181" spans="2:13" x14ac:dyDescent="0.3">
      <c r="B181">
        <v>179</v>
      </c>
      <c r="C181">
        <f t="shared" si="2"/>
        <v>1.2094543491557936</v>
      </c>
      <c r="D181">
        <f>Tableau1[[#This Row],[d1]]-$R$4*SQRT($O$4)</f>
        <v>0.30945434915579362</v>
      </c>
      <c r="E181">
        <f>NORMSDIST(Tableau1[[#This Row],[d1]])</f>
        <v>0.88675583033853489</v>
      </c>
      <c r="F181">
        <f>NORMSDIST(Tableau1[[#This Row],[d2]])</f>
        <v>0.62151203345283856</v>
      </c>
      <c r="G181">
        <f>Tableau1[[#This Row],[P]]*Tableau1[[#This Row],[N(d1)]]-$P$4*EXP(-$N$4*$O$4)*Tableau1[[#This Row],[N(d2)]]</f>
        <v>102.56524290994459</v>
      </c>
      <c r="L181">
        <f>MAX(Tableau1[[#This Row],[P]]-$P$4)-Tableau1[[#This Row],[C]]</f>
        <v>-18.565242909944587</v>
      </c>
      <c r="M181">
        <f xml:space="preserve"> Tableau1[[#This Row],[C]] - 0.5 * (-50) * (Tableau1[[#This Row],[P]] - $P$4)</f>
        <v>2202.5652429099446</v>
      </c>
    </row>
    <row r="182" spans="2:13" x14ac:dyDescent="0.3">
      <c r="B182">
        <v>180</v>
      </c>
      <c r="C182">
        <f t="shared" si="2"/>
        <v>1.215644399210744</v>
      </c>
      <c r="D182">
        <f>Tableau1[[#This Row],[d1]]-$R$4*SQRT($O$4)</f>
        <v>0.31564439921074394</v>
      </c>
      <c r="E182">
        <f>NORMSDIST(Tableau1[[#This Row],[d1]])</f>
        <v>0.88793979347149132</v>
      </c>
      <c r="F182">
        <f>NORMSDIST(Tableau1[[#This Row],[d2]])</f>
        <v>0.62386378324539293</v>
      </c>
      <c r="G182">
        <f>Tableau1[[#This Row],[P]]*Tableau1[[#This Row],[N(d1)]]-$P$4*EXP(-$N$4*$O$4)*Tableau1[[#This Row],[N(d2)]]</f>
        <v>103.45259201204988</v>
      </c>
      <c r="L182">
        <f>MAX(Tableau1[[#This Row],[P]]-$P$4)-Tableau1[[#This Row],[C]]</f>
        <v>-18.452592012049877</v>
      </c>
      <c r="M182">
        <f xml:space="preserve"> Tableau1[[#This Row],[C]] - 0.5 * (-50) * (Tableau1[[#This Row],[P]] - $P$4)</f>
        <v>2228.45259201205</v>
      </c>
    </row>
    <row r="183" spans="2:13" x14ac:dyDescent="0.3">
      <c r="B183">
        <v>181</v>
      </c>
      <c r="C183">
        <f t="shared" si="2"/>
        <v>1.2218001551836499</v>
      </c>
      <c r="D183">
        <f>Tableau1[[#This Row],[d1]]-$R$4*SQRT($O$4)</f>
        <v>0.32180015518364991</v>
      </c>
      <c r="E183">
        <f>NORMSDIST(Tableau1[[#This Row],[d1]])</f>
        <v>0.88910839506319284</v>
      </c>
      <c r="F183">
        <f>NORMSDIST(Tableau1[[#This Row],[d2]])</f>
        <v>0.62619795163580594</v>
      </c>
      <c r="G183">
        <f>Tableau1[[#This Row],[P]]*Tableau1[[#This Row],[N(d1)]]-$P$4*EXP(-$N$4*$O$4)*Tableau1[[#This Row],[N(d2)]]</f>
        <v>104.34111737642282</v>
      </c>
      <c r="L183">
        <f>MAX(Tableau1[[#This Row],[P]]-$P$4)-Tableau1[[#This Row],[C]]</f>
        <v>-18.341117376422815</v>
      </c>
      <c r="M183">
        <f xml:space="preserve"> Tableau1[[#This Row],[C]] - 0.5 * (-50) * (Tableau1[[#This Row],[P]] - $P$4)</f>
        <v>2254.341117376423</v>
      </c>
    </row>
    <row r="184" spans="2:13" x14ac:dyDescent="0.3">
      <c r="B184">
        <v>182</v>
      </c>
      <c r="C184">
        <f t="shared" si="2"/>
        <v>1.227921994973616</v>
      </c>
      <c r="D184">
        <f>Tableau1[[#This Row],[d1]]-$R$4*SQRT($O$4)</f>
        <v>0.32792199497361596</v>
      </c>
      <c r="E184">
        <f>NORMSDIST(Tableau1[[#This Row],[d1]])</f>
        <v>0.89026187406204293</v>
      </c>
      <c r="F184">
        <f>NORMSDIST(Tableau1[[#This Row],[d2]])</f>
        <v>0.62851467856141907</v>
      </c>
      <c r="G184">
        <f>Tableau1[[#This Row],[P]]*Tableau1[[#This Row],[N(d1)]]-$P$4*EXP(-$N$4*$O$4)*Tableau1[[#This Row],[N(d2)]]</f>
        <v>105.23080376135998</v>
      </c>
      <c r="L184">
        <f>MAX(Tableau1[[#This Row],[P]]-$P$4)-Tableau1[[#This Row],[C]]</f>
        <v>-18.230803761359979</v>
      </c>
      <c r="M184">
        <f xml:space="preserve"> Tableau1[[#This Row],[C]] - 0.5 * (-50) * (Tableau1[[#This Row],[P]] - $P$4)</f>
        <v>2280.2308037613598</v>
      </c>
    </row>
    <row r="185" spans="2:13" x14ac:dyDescent="0.3">
      <c r="B185">
        <v>183</v>
      </c>
      <c r="C185">
        <f t="shared" si="2"/>
        <v>1.2340102902676446</v>
      </c>
      <c r="D185">
        <f>Tableau1[[#This Row],[d1]]-$R$4*SQRT($O$4)</f>
        <v>0.33401029026764462</v>
      </c>
      <c r="E185">
        <f>NORMSDIST(Tableau1[[#This Row],[d1]])</f>
        <v>0.8914004650974352</v>
      </c>
      <c r="F185">
        <f>NORMSDIST(Tableau1[[#This Row],[d2]])</f>
        <v>0.63081410316982911</v>
      </c>
      <c r="G185">
        <f>Tableau1[[#This Row],[P]]*Tableau1[[#This Row],[N(d1)]]-$P$4*EXP(-$N$4*$O$4)*Tableau1[[#This Row],[N(d2)]]</f>
        <v>106.12163616193942</v>
      </c>
      <c r="L185">
        <f>MAX(Tableau1[[#This Row],[P]]-$P$4)-Tableau1[[#This Row],[C]]</f>
        <v>-18.121636161939421</v>
      </c>
      <c r="M185">
        <f xml:space="preserve"> Tableau1[[#This Row],[C]] - 0.5 * (-50) * (Tableau1[[#This Row],[P]] - $P$4)</f>
        <v>2306.1216361619395</v>
      </c>
    </row>
    <row r="186" spans="2:13" x14ac:dyDescent="0.3">
      <c r="B186">
        <v>184</v>
      </c>
      <c r="C186">
        <f t="shared" si="2"/>
        <v>1.2400654066760497</v>
      </c>
      <c r="D186">
        <f>Tableau1[[#This Row],[d1]]-$R$4*SQRT($O$4)</f>
        <v>0.34006540667604968</v>
      </c>
      <c r="E186">
        <f>NORMSDIST(Tableau1[[#This Row],[d1]])</f>
        <v>0.89252439856771915</v>
      </c>
      <c r="F186">
        <f>NORMSDIST(Tableau1[[#This Row],[d2]])</f>
        <v>0.63309636380633472</v>
      </c>
      <c r="G186">
        <f>Tableau1[[#This Row],[P]]*Tableau1[[#This Row],[N(d1)]]-$P$4*EXP(-$N$4*$O$4)*Tableau1[[#This Row],[N(d2)]]</f>
        <v>107.01359980574586</v>
      </c>
      <c r="L186">
        <f>MAX(Tableau1[[#This Row],[P]]-$P$4)-Tableau1[[#This Row],[C]]</f>
        <v>-18.013599805745855</v>
      </c>
      <c r="M186">
        <f xml:space="preserve"> Tableau1[[#This Row],[C]] - 0.5 * (-50) * (Tableau1[[#This Row],[P]] - $P$4)</f>
        <v>2332.0135998057458</v>
      </c>
    </row>
    <row r="187" spans="2:13" x14ac:dyDescent="0.3">
      <c r="B187">
        <v>185</v>
      </c>
      <c r="C187">
        <f t="shared" si="2"/>
        <v>1.2460877038642044</v>
      </c>
      <c r="D187">
        <f>Tableau1[[#This Row],[d1]]-$R$4*SQRT($O$4)</f>
        <v>0.3460877038642044</v>
      </c>
      <c r="E187">
        <f>NORMSDIST(Tableau1[[#This Row],[d1]])</f>
        <v>0.89363390072621929</v>
      </c>
      <c r="F187">
        <f>NORMSDIST(Tableau1[[#This Row],[d2]])</f>
        <v>0.6353615980022731</v>
      </c>
      <c r="G187">
        <f>Tableau1[[#This Row],[P]]*Tableau1[[#This Row],[N(d1)]]-$P$4*EXP(-$N$4*$O$4)*Tableau1[[#This Row],[N(d2)]]</f>
        <v>107.90668014868271</v>
      </c>
      <c r="L187">
        <f>MAX(Tableau1[[#This Row],[P]]-$P$4)-Tableau1[[#This Row],[C]]</f>
        <v>-17.90668014868271</v>
      </c>
      <c r="M187">
        <f xml:space="preserve"> Tableau1[[#This Row],[C]] - 0.5 * (-50) * (Tableau1[[#This Row],[P]] - $P$4)</f>
        <v>2357.9066801486829</v>
      </c>
    </row>
    <row r="188" spans="2:13" x14ac:dyDescent="0.3">
      <c r="B188">
        <v>186</v>
      </c>
      <c r="C188">
        <f t="shared" si="2"/>
        <v>1.2520775356807339</v>
      </c>
      <c r="D188">
        <f>Tableau1[[#This Row],[d1]]-$R$4*SQRT($O$4)</f>
        <v>0.35207753568073386</v>
      </c>
      <c r="E188">
        <f>NORMSDIST(Tableau1[[#This Row],[d1]])</f>
        <v>0.89472919376534743</v>
      </c>
      <c r="F188">
        <f>NORMSDIST(Tableau1[[#This Row],[d2]])</f>
        <v>0.63760994246420655</v>
      </c>
      <c r="G188">
        <f>Tableau1[[#This Row],[P]]*Tableau1[[#This Row],[N(d1)]]-$P$4*EXP(-$N$4*$O$4)*Tableau1[[#This Row],[N(d2)]]</f>
        <v>108.80086287086938</v>
      </c>
      <c r="L188">
        <f>MAX(Tableau1[[#This Row],[P]]-$P$4)-Tableau1[[#This Row],[C]]</f>
        <v>-17.800862870869381</v>
      </c>
      <c r="M188">
        <f xml:space="preserve"> Tableau1[[#This Row],[C]] - 0.5 * (-50) * (Tableau1[[#This Row],[P]] - $P$4)</f>
        <v>2383.8008628708694</v>
      </c>
    </row>
    <row r="189" spans="2:13" x14ac:dyDescent="0.3">
      <c r="B189">
        <v>187</v>
      </c>
      <c r="C189">
        <f t="shared" si="2"/>
        <v>1.2580352502822729</v>
      </c>
      <c r="D189">
        <f>Tableau1[[#This Row],[d1]]-$R$4*SQRT($O$4)</f>
        <v>0.3580352502822729</v>
      </c>
      <c r="E189">
        <f>NORMSDIST(Tableau1[[#This Row],[d1]])</f>
        <v>0.89581049589885697</v>
      </c>
      <c r="F189">
        <f>NORMSDIST(Tableau1[[#This Row],[d2]])</f>
        <v>0.63984153306392277</v>
      </c>
      <c r="G189">
        <f>Tableau1[[#This Row],[P]]*Tableau1[[#This Row],[N(d1)]]-$P$4*EXP(-$N$4*$O$4)*Tableau1[[#This Row],[N(d2)]]</f>
        <v>109.69613387262153</v>
      </c>
      <c r="L189">
        <f>MAX(Tableau1[[#This Row],[P]]-$P$4)-Tableau1[[#This Row],[C]]</f>
        <v>-17.69613387262153</v>
      </c>
      <c r="M189">
        <f xml:space="preserve"> Tableau1[[#This Row],[C]] - 0.5 * (-50) * (Tableau1[[#This Row],[P]] - $P$4)</f>
        <v>2409.6961338726214</v>
      </c>
    </row>
    <row r="190" spans="2:13" x14ac:dyDescent="0.3">
      <c r="B190">
        <v>188</v>
      </c>
      <c r="C190">
        <f t="shared" si="2"/>
        <v>1.2639611902548982</v>
      </c>
      <c r="D190">
        <f>Tableau1[[#This Row],[d1]]-$R$4*SQRT($O$4)</f>
        <v>0.36396119025489815</v>
      </c>
      <c r="E190">
        <f>NORMSDIST(Tableau1[[#This Row],[d1]])</f>
        <v>0.89687802144227724</v>
      </c>
      <c r="F190">
        <f>NORMSDIST(Tableau1[[#This Row],[d2]])</f>
        <v>0.6420565048292155</v>
      </c>
      <c r="G190">
        <f>Tableau1[[#This Row],[P]]*Tableau1[[#This Row],[N(d1)]]-$P$4*EXP(-$N$4*$O$4)*Tableau1[[#This Row],[N(d2)]]</f>
        <v>110.59247927051283</v>
      </c>
      <c r="L190">
        <f>MAX(Tableau1[[#This Row],[P]]-$P$4)-Tableau1[[#This Row],[C]]</f>
        <v>-17.592479270512825</v>
      </c>
      <c r="M190">
        <f xml:space="preserve"> Tableau1[[#This Row],[C]] - 0.5 * (-50) * (Tableau1[[#This Row],[P]] - $P$4)</f>
        <v>2435.5924792705127</v>
      </c>
    </row>
    <row r="191" spans="2:13" x14ac:dyDescent="0.3">
      <c r="B191">
        <v>189</v>
      </c>
      <c r="C191">
        <f t="shared" si="2"/>
        <v>1.269855692732335</v>
      </c>
      <c r="D191">
        <f>Tableau1[[#This Row],[d1]]-$R$4*SQRT($O$4)</f>
        <v>0.36985569273233498</v>
      </c>
      <c r="E191">
        <f>NORMSDIST(Tableau1[[#This Row],[d1]])</f>
        <v>0.89793198089157267</v>
      </c>
      <c r="F191">
        <f>NORMSDIST(Tableau1[[#This Row],[d2]])</f>
        <v>0.64425499193540903</v>
      </c>
      <c r="G191">
        <f>Tableau1[[#This Row],[P]]*Tableau1[[#This Row],[N(d1)]]-$P$4*EXP(-$N$4*$O$4)*Tableau1[[#This Row],[N(d2)]]</f>
        <v>111.48988539351626</v>
      </c>
      <c r="L191">
        <f>MAX(Tableau1[[#This Row],[P]]-$P$4)-Tableau1[[#This Row],[C]]</f>
        <v>-17.489885393516261</v>
      </c>
      <c r="M191">
        <f xml:space="preserve"> Tableau1[[#This Row],[C]] - 0.5 * (-50) * (Tableau1[[#This Row],[P]] - $P$4)</f>
        <v>2461.4898853935165</v>
      </c>
    </row>
    <row r="192" spans="2:13" x14ac:dyDescent="0.3">
      <c r="B192">
        <v>190</v>
      </c>
      <c r="C192">
        <f t="shared" si="2"/>
        <v>1.2757190895110502</v>
      </c>
      <c r="D192">
        <f>Tableau1[[#This Row],[d1]]-$R$4*SQRT($O$4)</f>
        <v>0.37571908951105015</v>
      </c>
      <c r="E192">
        <f>NORMSDIST(Tableau1[[#This Row],[d1]])</f>
        <v>0.89897258100006705</v>
      </c>
      <c r="F192">
        <f>NORMSDIST(Tableau1[[#This Row],[d2]])</f>
        <v>0.64643712769759754</v>
      </c>
      <c r="G192">
        <f>Tableau1[[#This Row],[P]]*Tableau1[[#This Row],[N(d1)]]-$P$4*EXP(-$N$4*$O$4)*Tableau1[[#This Row],[N(d2)]]</f>
        <v>112.3883387792231</v>
      </c>
      <c r="L192">
        <f>MAX(Tableau1[[#This Row],[P]]-$P$4)-Tableau1[[#This Row],[C]]</f>
        <v>-17.388338779223105</v>
      </c>
      <c r="M192">
        <f xml:space="preserve"> Tableau1[[#This Row],[C]] - 0.5 * (-50) * (Tableau1[[#This Row],[P]] - $P$4)</f>
        <v>2487.388338779223</v>
      </c>
    </row>
    <row r="193" spans="2:13" x14ac:dyDescent="0.3">
      <c r="B193">
        <v>191</v>
      </c>
      <c r="C193">
        <f t="shared" si="2"/>
        <v>1.281551707162321</v>
      </c>
      <c r="D193">
        <f>Tableau1[[#This Row],[d1]]-$R$4*SQRT($O$4)</f>
        <v>0.38155170716232101</v>
      </c>
      <c r="E193">
        <f>NORMSDIST(Tableau1[[#This Row],[d1]])</f>
        <v>0.90000002485367148</v>
      </c>
      <c r="F193">
        <f>NORMSDIST(Tableau1[[#This Row],[d2]])</f>
        <v>0.64860304456356699</v>
      </c>
      <c r="G193">
        <f>Tableau1[[#This Row],[P]]*Tableau1[[#This Row],[N(d1)]]-$P$4*EXP(-$N$4*$O$4)*Tableau1[[#This Row],[N(d2)]]</f>
        <v>113.28782617013803</v>
      </c>
      <c r="L193">
        <f>MAX(Tableau1[[#This Row],[P]]-$P$4)-Tableau1[[#This Row],[C]]</f>
        <v>-17.287826170138032</v>
      </c>
      <c r="M193">
        <f xml:space="preserve"> Tableau1[[#This Row],[C]] - 0.5 * (-50) * (Tableau1[[#This Row],[P]] - $P$4)</f>
        <v>2513.287826170138</v>
      </c>
    </row>
    <row r="194" spans="2:13" x14ac:dyDescent="0.3">
      <c r="B194">
        <v>192</v>
      </c>
      <c r="C194">
        <f t="shared" si="2"/>
        <v>1.2873538671413787</v>
      </c>
      <c r="D194">
        <f>Tableau1[[#This Row],[d1]]-$R$4*SQRT($O$4)</f>
        <v>0.38735386714137865</v>
      </c>
      <c r="E194">
        <f>NORMSDIST(Tableau1[[#This Row],[d1]])</f>
        <v>0.90101451194445725</v>
      </c>
      <c r="F194">
        <f>NORMSDIST(Tableau1[[#This Row],[d2]])</f>
        <v>0.65075287410736904</v>
      </c>
      <c r="G194">
        <f>Tableau1[[#This Row],[P]]*Tableau1[[#This Row],[N(d1)]]-$P$4*EXP(-$N$4*$O$4)*Tableau1[[#This Row],[N(d2)]]</f>
        <v>114.18833451004865</v>
      </c>
      <c r="L194">
        <f>MAX(Tableau1[[#This Row],[P]]-$P$4)-Tableau1[[#This Row],[C]]</f>
        <v>-17.188334510048648</v>
      </c>
      <c r="M194">
        <f xml:space="preserve"> Tableau1[[#This Row],[C]] - 0.5 * (-50) * (Tableau1[[#This Row],[P]] - $P$4)</f>
        <v>2539.1883345100487</v>
      </c>
    </row>
    <row r="195" spans="2:13" x14ac:dyDescent="0.3">
      <c r="B195">
        <v>193</v>
      </c>
      <c r="C195">
        <f t="shared" ref="C195:C258" si="3" xml:space="preserve"> (LN($B195/$P$4) + ($N$4 + ($R$4^2)/2) * $O$4) / ($R$4 * SQRT($O$4))</f>
        <v>1.2931258858937162</v>
      </c>
      <c r="D195">
        <f>Tableau1[[#This Row],[d1]]-$R$4*SQRT($O$4)</f>
        <v>0.39312588589371622</v>
      </c>
      <c r="E195">
        <f>NORMSDIST(Tableau1[[#This Row],[d1]])</f>
        <v>0.90201623824261001</v>
      </c>
      <c r="F195">
        <f>NORMSDIST(Tableau1[[#This Row],[d2]])</f>
        <v>0.65288674702351979</v>
      </c>
      <c r="G195">
        <f>Tableau1[[#This Row],[P]]*Tableau1[[#This Row],[N(d1)]]-$P$4*EXP(-$N$4*$O$4)*Tableau1[[#This Row],[N(d2)]]</f>
        <v>115.08985094046776</v>
      </c>
      <c r="L195">
        <f>MAX(Tableau1[[#This Row],[P]]-$P$4)-Tableau1[[#This Row],[C]]</f>
        <v>-17.089850940467755</v>
      </c>
      <c r="M195">
        <f xml:space="preserve"> Tableau1[[#This Row],[C]] - 0.5 * (-50) * (Tableau1[[#This Row],[P]] - $P$4)</f>
        <v>2565.0898509404678</v>
      </c>
    </row>
    <row r="196" spans="2:13" x14ac:dyDescent="0.3">
      <c r="B196">
        <v>194</v>
      </c>
      <c r="C196">
        <f t="shared" si="3"/>
        <v>1.2988680749586525</v>
      </c>
      <c r="D196">
        <f>Tableau1[[#This Row],[d1]]-$R$4*SQRT($O$4)</f>
        <v>0.39886807495865251</v>
      </c>
      <c r="E196">
        <f>NORMSDIST(Tableau1[[#This Row],[d1]])</f>
        <v>0.90300539626680454</v>
      </c>
      <c r="F196">
        <f>NORMSDIST(Tableau1[[#This Row],[d2]])</f>
        <v>0.65500479312179627</v>
      </c>
      <c r="G196">
        <f>Tableau1[[#This Row],[P]]*Tableau1[[#This Row],[N(d1)]]-$P$4*EXP(-$N$4*$O$4)*Tableau1[[#This Row],[N(d2)]]</f>
        <v>115.99236279714681</v>
      </c>
      <c r="L196">
        <f>MAX(Tableau1[[#This Row],[P]]-$P$4)-Tableau1[[#This Row],[C]]</f>
        <v>-16.992362797146811</v>
      </c>
      <c r="M196">
        <f xml:space="preserve"> Tableau1[[#This Row],[C]] - 0.5 * (-50) * (Tableau1[[#This Row],[P]] - $P$4)</f>
        <v>2590.9923627971466</v>
      </c>
    </row>
    <row r="197" spans="2:13" x14ac:dyDescent="0.3">
      <c r="B197">
        <v>195</v>
      </c>
      <c r="C197">
        <f t="shared" si="3"/>
        <v>1.304580741070229</v>
      </c>
      <c r="D197">
        <f>Tableau1[[#This Row],[d1]]-$R$4*SQRT($O$4)</f>
        <v>0.40458074107022901</v>
      </c>
      <c r="E197">
        <f>NORMSDIST(Tableau1[[#This Row],[d1]])</f>
        <v>0.90398217515303414</v>
      </c>
      <c r="F197">
        <f>NORMSDIST(Tableau1[[#This Row],[d2]])</f>
        <v>0.65710714132260206</v>
      </c>
      <c r="G197">
        <f>Tableau1[[#This Row],[P]]*Tableau1[[#This Row],[N(d1)]]-$P$4*EXP(-$N$4*$O$4)*Tableau1[[#This Row],[N(d2)]]</f>
        <v>116.89585760665889</v>
      </c>
      <c r="L197">
        <f>MAX(Tableau1[[#This Row],[P]]-$P$4)-Tableau1[[#This Row],[C]]</f>
        <v>-16.895857606658893</v>
      </c>
      <c r="M197">
        <f xml:space="preserve"> Tableau1[[#This Row],[C]] - 0.5 * (-50) * (Tableau1[[#This Row],[P]] - $P$4)</f>
        <v>2616.8958576066589</v>
      </c>
    </row>
    <row r="198" spans="2:13" x14ac:dyDescent="0.3">
      <c r="B198">
        <v>196</v>
      </c>
      <c r="C198">
        <f t="shared" si="3"/>
        <v>1.3102641862555295</v>
      </c>
      <c r="D198">
        <f>Tableau1[[#This Row],[d1]]-$R$4*SQRT($O$4)</f>
        <v>0.41026418625552952</v>
      </c>
      <c r="E198">
        <f>NORMSDIST(Tableau1[[#This Row],[d1]])</f>
        <v>0.90494676072193292</v>
      </c>
      <c r="F198">
        <f>NORMSDIST(Tableau1[[#This Row],[d2]])</f>
        <v>0.65919391965287999</v>
      </c>
      <c r="G198">
        <f>Tableau1[[#This Row],[P]]*Tableau1[[#This Row],[N(d1)]]-$P$4*EXP(-$N$4*$O$4)*Tableau1[[#This Row],[N(d2)]]</f>
        <v>117.80032308304988</v>
      </c>
      <c r="L198">
        <f>MAX(Tableau1[[#This Row],[P]]-$P$4)-Tableau1[[#This Row],[C]]</f>
        <v>-16.800323083049875</v>
      </c>
      <c r="M198">
        <f xml:space="preserve"> Tableau1[[#This Row],[C]] - 0.5 * (-50) * (Tableau1[[#This Row],[P]] - $P$4)</f>
        <v>2642.80032308305</v>
      </c>
    </row>
    <row r="199" spans="2:13" x14ac:dyDescent="0.3">
      <c r="B199">
        <v>197</v>
      </c>
      <c r="C199">
        <f t="shared" si="3"/>
        <v>1.3159187079304973</v>
      </c>
      <c r="D199">
        <f>Tableau1[[#This Row],[d1]]-$R$4*SQRT($O$4)</f>
        <v>0.41591870793049723</v>
      </c>
      <c r="E199">
        <f>NORMSDIST(Tableau1[[#This Row],[d1]])</f>
        <v>0.90589933554462465</v>
      </c>
      <c r="F199">
        <f>NORMSDIST(Tableau1[[#This Row],[d2]])</f>
        <v>0.6612652552425452</v>
      </c>
      <c r="G199">
        <f>Tableau1[[#This Row],[P]]*Tableau1[[#This Row],[N(d1)]]-$P$4*EXP(-$N$4*$O$4)*Tableau1[[#This Row],[N(d2)]]</f>
        <v>118.70574712455607</v>
      </c>
      <c r="L199">
        <f>MAX(Tableau1[[#This Row],[P]]-$P$4)-Tableau1[[#This Row],[C]]</f>
        <v>-16.705747124556069</v>
      </c>
      <c r="M199">
        <f xml:space="preserve"> Tableau1[[#This Row],[C]] - 0.5 * (-50) * (Tableau1[[#This Row],[P]] - $P$4)</f>
        <v>2668.7057471245562</v>
      </c>
    </row>
    <row r="200" spans="2:13" x14ac:dyDescent="0.3">
      <c r="B200">
        <v>198</v>
      </c>
      <c r="C200">
        <f t="shared" si="3"/>
        <v>1.321544598993327</v>
      </c>
      <c r="D200">
        <f>Tableau1[[#This Row],[d1]]-$R$4*SQRT($O$4)</f>
        <v>0.42154459899332697</v>
      </c>
      <c r="E200">
        <f>NORMSDIST(Tableau1[[#This Row],[d1]])</f>
        <v>0.90684007900713182</v>
      </c>
      <c r="F200">
        <f>NORMSDIST(Tableau1[[#This Row],[d2]])</f>
        <v>0.66332127432141763</v>
      </c>
      <c r="G200">
        <f>Tableau1[[#This Row],[P]]*Tableau1[[#This Row],[N(d1)]]-$P$4*EXP(-$N$4*$O$4)*Tableau1[[#This Row],[N(d2)]]</f>
        <v>119.61211781038708</v>
      </c>
      <c r="L200">
        <f>MAX(Tableau1[[#This Row],[P]]-$P$4)-Tableau1[[#This Row],[C]]</f>
        <v>-16.612117810387076</v>
      </c>
      <c r="M200">
        <f xml:space="preserve"> Tableau1[[#This Row],[C]] - 0.5 * (-50) * (Tableau1[[#This Row],[P]] - $P$4)</f>
        <v>2694.6121178103872</v>
      </c>
    </row>
    <row r="201" spans="2:13" x14ac:dyDescent="0.3">
      <c r="B201">
        <v>199</v>
      </c>
      <c r="C201">
        <f t="shared" si="3"/>
        <v>1.3271421479155017</v>
      </c>
      <c r="D201">
        <f>Tableau1[[#This Row],[d1]]-$R$4*SQRT($O$4)</f>
        <v>0.42714214791550165</v>
      </c>
      <c r="E201">
        <f>NORMSDIST(Tableau1[[#This Row],[d1]])</f>
        <v>0.90776916737337943</v>
      </c>
      <c r="F201">
        <f>NORMSDIST(Tableau1[[#This Row],[d2]])</f>
        <v>0.66536210221662762</v>
      </c>
      <c r="G201">
        <f>Tableau1[[#This Row],[P]]*Tableau1[[#This Row],[N(d1)]]-$P$4*EXP(-$N$4*$O$4)*Tableau1[[#This Row],[N(d2)]]</f>
        <v>120.51942339757225</v>
      </c>
      <c r="L201">
        <f>MAX(Tableau1[[#This Row],[P]]-$P$4)-Tableau1[[#This Row],[C]]</f>
        <v>-16.519423397572254</v>
      </c>
      <c r="M201">
        <f xml:space="preserve"> Tableau1[[#This Row],[C]] - 0.5 * (-50) * (Tableau1[[#This Row],[P]] - $P$4)</f>
        <v>2720.5194233975722</v>
      </c>
    </row>
    <row r="202" spans="2:13" x14ac:dyDescent="0.3">
      <c r="B202">
        <v>200</v>
      </c>
      <c r="C202">
        <f t="shared" si="3"/>
        <v>1.3327116388305509</v>
      </c>
      <c r="D202">
        <f>Tableau1[[#This Row],[d1]]-$R$4*SQRT($O$4)</f>
        <v>0.43271163883055086</v>
      </c>
      <c r="E202">
        <f>NORMSDIST(Tableau1[[#This Row],[d1]])</f>
        <v>0.90868677384682561</v>
      </c>
      <c r="F202">
        <f>NORMSDIST(Tableau1[[#This Row],[d2]])</f>
        <v>0.66738786335047906</v>
      </c>
      <c r="G202">
        <f>Tableau1[[#This Row],[P]]*Tableau1[[#This Row],[N(d1)]]-$P$4*EXP(-$N$4*$O$4)*Tableau1[[#This Row],[N(d2)]]</f>
        <v>121.42765231786956</v>
      </c>
      <c r="L202">
        <f>MAX(Tableau1[[#This Row],[P]]-$P$4)-Tableau1[[#This Row],[C]]</f>
        <v>-16.427652317869558</v>
      </c>
      <c r="M202">
        <f xml:space="preserve"> Tableau1[[#This Row],[C]] - 0.5 * (-50) * (Tableau1[[#This Row],[P]] - $P$4)</f>
        <v>2746.4276523178696</v>
      </c>
    </row>
    <row r="203" spans="2:13" x14ac:dyDescent="0.3">
      <c r="B203">
        <v>201</v>
      </c>
      <c r="C203">
        <f t="shared" si="3"/>
        <v>1.3382533516205941</v>
      </c>
      <c r="D203">
        <f>Tableau1[[#This Row],[d1]]-$R$4*SQRT($O$4)</f>
        <v>0.43825335162059409</v>
      </c>
      <c r="E203">
        <f>NORMSDIST(Tableau1[[#This Row],[d1]])</f>
        <v>0.90959306863074996</v>
      </c>
      <c r="F203">
        <f>NORMSDIST(Tableau1[[#This Row],[d2]])</f>
        <v>0.66939868123874324</v>
      </c>
      <c r="G203">
        <f>Tableau1[[#This Row],[P]]*Tableau1[[#This Row],[N(d1)]]-$P$4*EXP(-$N$4*$O$4)*Tableau1[[#This Row],[N(d2)]]</f>
        <v>122.33679317473542</v>
      </c>
      <c r="L203">
        <f>MAX(Tableau1[[#This Row],[P]]-$P$4)-Tableau1[[#This Row],[C]]</f>
        <v>-16.336793174735419</v>
      </c>
      <c r="M203">
        <f xml:space="preserve"> Tableau1[[#This Row],[C]] - 0.5 * (-50) * (Tableau1[[#This Row],[P]] - $P$4)</f>
        <v>2772.3367931747352</v>
      </c>
    </row>
    <row r="204" spans="2:13" x14ac:dyDescent="0.3">
      <c r="B204">
        <v>202</v>
      </c>
      <c r="C204">
        <f t="shared" si="3"/>
        <v>1.3437675620007377</v>
      </c>
      <c r="D204">
        <f>Tableau1[[#This Row],[d1]]-$R$4*SQRT($O$4)</f>
        <v>0.44376756200073764</v>
      </c>
      <c r="E204">
        <f>NORMSDIST(Tableau1[[#This Row],[d1]])</f>
        <v>0.91048821898723276</v>
      </c>
      <c r="F204">
        <f>NORMSDIST(Tableau1[[#This Row],[d2]])</f>
        <v>0.67139467848936951</v>
      </c>
      <c r="G204">
        <f>Tableau1[[#This Row],[P]]*Tableau1[[#This Row],[N(d1)]]-$P$4*EXP(-$N$4*$O$4)*Tableau1[[#This Row],[N(d2)]]</f>
        <v>123.24683474035396</v>
      </c>
      <c r="L204">
        <f>MAX(Tableau1[[#This Row],[P]]-$P$4)-Tableau1[[#This Row],[C]]</f>
        <v>-16.246834740353961</v>
      </c>
      <c r="M204">
        <f xml:space="preserve"> Tableau1[[#This Row],[C]] - 0.5 * (-50) * (Tableau1[[#This Row],[P]] - $P$4)</f>
        <v>2798.2468347403537</v>
      </c>
    </row>
    <row r="205" spans="2:13" x14ac:dyDescent="0.3">
      <c r="B205">
        <v>203</v>
      </c>
      <c r="C205">
        <f t="shared" si="3"/>
        <v>1.349254541601385</v>
      </c>
      <c r="D205">
        <f>Tableau1[[#This Row],[d1]]-$R$4*SQRT($O$4)</f>
        <v>0.449254541601385</v>
      </c>
      <c r="E205">
        <f>NORMSDIST(Tableau1[[#This Row],[d1]])</f>
        <v>0.91137238929485309</v>
      </c>
      <c r="F205">
        <f>NORMSDIST(Tableau1[[#This Row],[d2]])</f>
        <v>0.67337597680158834</v>
      </c>
      <c r="G205">
        <f>Tableau1[[#This Row],[P]]*Tableau1[[#This Row],[N(d1)]]-$P$4*EXP(-$N$4*$O$4)*Tableau1[[#This Row],[N(d2)]]</f>
        <v>124.15776595272499</v>
      </c>
      <c r="L205">
        <f>MAX(Tableau1[[#This Row],[P]]-$P$4)-Tableau1[[#This Row],[C]]</f>
        <v>-16.157765952724986</v>
      </c>
      <c r="M205">
        <f xml:space="preserve"> Tableau1[[#This Row],[C]] - 0.5 * (-50) * (Tableau1[[#This Row],[P]] - $P$4)</f>
        <v>2824.1577659527252</v>
      </c>
    </row>
    <row r="206" spans="2:13" x14ac:dyDescent="0.3">
      <c r="B206">
        <v>204</v>
      </c>
      <c r="C206">
        <f t="shared" si="3"/>
        <v>1.3547145580485285</v>
      </c>
      <c r="D206">
        <f>Tableau1[[#This Row],[d1]]-$R$4*SQRT($O$4)</f>
        <v>0.45471455804852845</v>
      </c>
      <c r="E206">
        <f>NORMSDIST(Tableau1[[#This Row],[d1]])</f>
        <v>0.91224574110513712</v>
      </c>
      <c r="F206">
        <f>NORMSDIST(Tableau1[[#This Row],[d2]])</f>
        <v>0.67534269696539262</v>
      </c>
      <c r="G206">
        <f>Tableau1[[#This Row],[P]]*Tableau1[[#This Row],[N(d1)]]-$P$4*EXP(-$N$4*$O$4)*Tableau1[[#This Row],[N(d2)]]</f>
        <v>125.06957591280869</v>
      </c>
      <c r="L206">
        <f>MAX(Tableau1[[#This Row],[P]]-$P$4)-Tableau1[[#This Row],[C]]</f>
        <v>-16.069575912808688</v>
      </c>
      <c r="M206">
        <f xml:space="preserve"> Tableau1[[#This Row],[C]] - 0.5 * (-50) * (Tableau1[[#This Row],[P]] - $P$4)</f>
        <v>2850.0695759128089</v>
      </c>
    </row>
    <row r="207" spans="2:13" x14ac:dyDescent="0.3">
      <c r="B207">
        <v>205</v>
      </c>
      <c r="C207">
        <f t="shared" si="3"/>
        <v>1.3601478750420748</v>
      </c>
      <c r="D207">
        <f>Tableau1[[#This Row],[d1]]-$R$4*SQRT($O$4)</f>
        <v>0.46014787504207477</v>
      </c>
      <c r="E207">
        <f>NORMSDIST(Tableau1[[#This Row],[d1]])</f>
        <v>0.91310843319778467</v>
      </c>
      <c r="F207">
        <f>NORMSDIST(Tableau1[[#This Row],[d2]])</f>
        <v>0.67729495886137792</v>
      </c>
      <c r="G207">
        <f>Tableau1[[#This Row],[P]]*Tableau1[[#This Row],[N(d1)]]-$P$4*EXP(-$N$4*$O$4)*Tableau1[[#This Row],[N(d2)]]</f>
        <v>125.98225388172625</v>
      </c>
      <c r="L207">
        <f>MAX(Tableau1[[#This Row],[P]]-$P$4)-Tableau1[[#This Row],[C]]</f>
        <v>-15.982253881726251</v>
      </c>
      <c r="M207">
        <f xml:space="preserve"> Tableau1[[#This Row],[C]] - 0.5 * (-50) * (Tableau1[[#This Row],[P]] - $P$4)</f>
        <v>2875.9822538817261</v>
      </c>
    </row>
    <row r="208" spans="2:13" x14ac:dyDescent="0.3">
      <c r="B208">
        <v>206</v>
      </c>
      <c r="C208">
        <f t="shared" si="3"/>
        <v>1.3655547524322671</v>
      </c>
      <c r="D208">
        <f>Tableau1[[#This Row],[d1]]-$R$4*SQRT($O$4)</f>
        <v>0.46555475243226707</v>
      </c>
      <c r="E208">
        <f>NORMSDIST(Tableau1[[#This Row],[d1]])</f>
        <v>0.91396062163470326</v>
      </c>
      <c r="F208">
        <f>NORMSDIST(Tableau1[[#This Row],[d2]])</f>
        <v>0.67923288146092542</v>
      </c>
      <c r="G208">
        <f>Tableau1[[#This Row],[P]]*Tableau1[[#This Row],[N(d1)]]-$P$4*EXP(-$N$4*$O$4)*Tableau1[[#This Row],[N(d2)]]</f>
        <v>126.89578927801529</v>
      </c>
      <c r="L208">
        <f>MAX(Tableau1[[#This Row],[P]]-$P$4)-Tableau1[[#This Row],[C]]</f>
        <v>-15.895789278015286</v>
      </c>
      <c r="M208">
        <f xml:space="preserve"> Tableau1[[#This Row],[C]] - 0.5 * (-50) * (Tableau1[[#This Row],[P]] - $P$4)</f>
        <v>2901.8957892780154</v>
      </c>
    </row>
    <row r="209" spans="2:13" x14ac:dyDescent="0.3">
      <c r="B209">
        <v>207</v>
      </c>
      <c r="C209">
        <f t="shared" si="3"/>
        <v>1.3709354462942536</v>
      </c>
      <c r="D209">
        <f>Tableau1[[#This Row],[d1]]-$R$4*SQRT($O$4)</f>
        <v>0.47093544629425355</v>
      </c>
      <c r="E209">
        <f>NORMSDIST(Tableau1[[#This Row],[d1]])</f>
        <v>0.91480245981287567</v>
      </c>
      <c r="F209">
        <f>NORMSDIST(Tableau1[[#This Row],[d2]])</f>
        <v>0.6811565828267101</v>
      </c>
      <c r="G209">
        <f>Tableau1[[#This Row],[P]]*Tableau1[[#This Row],[N(d1)]]-$P$4*EXP(-$N$4*$O$4)*Tableau1[[#This Row],[N(d2)]]</f>
        <v>127.81017167493845</v>
      </c>
      <c r="L209">
        <f>MAX(Tableau1[[#This Row],[P]]-$P$4)-Tableau1[[#This Row],[C]]</f>
        <v>-15.810171674938445</v>
      </c>
      <c r="M209">
        <f xml:space="preserve"> Tableau1[[#This Row],[C]] - 0.5 * (-50) * (Tableau1[[#This Row],[P]] - $P$4)</f>
        <v>2927.8101716749384</v>
      </c>
    </row>
    <row r="210" spans="2:13" x14ac:dyDescent="0.3">
      <c r="B210">
        <v>208</v>
      </c>
      <c r="C210">
        <f t="shared" si="3"/>
        <v>1.3762902090008635</v>
      </c>
      <c r="D210">
        <f>Tableau1[[#This Row],[d1]]-$R$4*SQRT($O$4)</f>
        <v>0.4762902090008635</v>
      </c>
      <c r="E210">
        <f>NORMSDIST(Tableau1[[#This Row],[d1]])</f>
        <v>0.91563409851608979</v>
      </c>
      <c r="F210">
        <f>NORMSDIST(Tableau1[[#This Row],[d2]])</f>
        <v>0.68306618011352127</v>
      </c>
      <c r="G210">
        <f>Tableau1[[#This Row],[P]]*Tableau1[[#This Row],[N(d1)]]-$P$4*EXP(-$N$4*$O$4)*Tableau1[[#This Row],[N(d2)]]</f>
        <v>128.72539079784451</v>
      </c>
      <c r="L210">
        <f>MAX(Tableau1[[#This Row],[P]]-$P$4)-Tableau1[[#This Row],[C]]</f>
        <v>-15.725390797844511</v>
      </c>
      <c r="M210">
        <f xml:space="preserve"> Tableau1[[#This Row],[C]] - 0.5 * (-50) * (Tableau1[[#This Row],[P]] - $P$4)</f>
        <v>2953.7253907978447</v>
      </c>
    </row>
    <row r="211" spans="2:13" x14ac:dyDescent="0.3">
      <c r="B211">
        <v>209</v>
      </c>
      <c r="C211">
        <f t="shared" si="3"/>
        <v>1.3816192892936336</v>
      </c>
      <c r="D211">
        <f>Tableau1[[#This Row],[d1]]-$R$4*SQRT($O$4)</f>
        <v>0.48161928929363362</v>
      </c>
      <c r="E211">
        <f>NORMSDIST(Tableau1[[#This Row],[d1]])</f>
        <v>0.91645568596555593</v>
      </c>
      <c r="F211">
        <f>NORMSDIST(Tableau1[[#This Row],[d2]])</f>
        <v>0.68496178956937792</v>
      </c>
      <c r="G211">
        <f>Tableau1[[#This Row],[P]]*Tableau1[[#This Row],[N(d1)]]-$P$4*EXP(-$N$4*$O$4)*Tableau1[[#This Row],[N(d2)]]</f>
        <v>129.64143652158063</v>
      </c>
      <c r="L211">
        <f>MAX(Tableau1[[#This Row],[P]]-$P$4)-Tableau1[[#This Row],[C]]</f>
        <v>-15.64143652158063</v>
      </c>
      <c r="M211">
        <f xml:space="preserve"> Tableau1[[#This Row],[C]] - 0.5 * (-50) * (Tableau1[[#This Row],[P]] - $P$4)</f>
        <v>2979.6414365215805</v>
      </c>
    </row>
    <row r="212" spans="2:13" x14ac:dyDescent="0.3">
      <c r="B212">
        <v>210</v>
      </c>
      <c r="C212">
        <f t="shared" si="3"/>
        <v>1.3869229323521421</v>
      </c>
      <c r="D212">
        <f>Tableau1[[#This Row],[d1]]-$R$4*SQRT($O$4)</f>
        <v>0.48692293235214212</v>
      </c>
      <c r="E212">
        <f>NORMSDIST(Tableau1[[#This Row],[d1]])</f>
        <v>0.91726736786943708</v>
      </c>
      <c r="F212">
        <f>NORMSDIST(Tableau1[[#This Row],[d2]])</f>
        <v>0.68684352653692615</v>
      </c>
      <c r="G212">
        <f>Tableau1[[#This Row],[P]]*Tableau1[[#This Row],[N(d1)]]-$P$4*EXP(-$N$4*$O$4)*Tableau1[[#This Row],[N(d2)]]</f>
        <v>130.55829886795448</v>
      </c>
      <c r="L212">
        <f>MAX(Tableau1[[#This Row],[P]]-$P$4)-Tableau1[[#This Row],[C]]</f>
        <v>-15.558298867954477</v>
      </c>
      <c r="M212">
        <f xml:space="preserve"> Tableau1[[#This Row],[C]] - 0.5 * (-50) * (Tableau1[[#This Row],[P]] - $P$4)</f>
        <v>3005.5582988679544</v>
      </c>
    </row>
    <row r="213" spans="2:13" x14ac:dyDescent="0.3">
      <c r="B213">
        <v>211</v>
      </c>
      <c r="C213">
        <f t="shared" si="3"/>
        <v>1.392201379861695</v>
      </c>
      <c r="D213">
        <f>Tableau1[[#This Row],[d1]]-$R$4*SQRT($O$4)</f>
        <v>0.49220137986169499</v>
      </c>
      <c r="E213">
        <f>NORMSDIST(Tableau1[[#This Row],[d1]])</f>
        <v>0.91806928747131877</v>
      </c>
      <c r="F213">
        <f>NORMSDIST(Tableau1[[#This Row],[d2]])</f>
        <v>0.68871150545510473</v>
      </c>
      <c r="G213">
        <f>Tableau1[[#This Row],[P]]*Tableau1[[#This Row],[N(d1)]]-$P$4*EXP(-$N$4*$O$4)*Tableau1[[#This Row],[N(d2)]]</f>
        <v>131.4759680032457</v>
      </c>
      <c r="L213">
        <f>MAX(Tableau1[[#This Row],[P]]-$P$4)-Tableau1[[#This Row],[C]]</f>
        <v>-15.475968003245697</v>
      </c>
      <c r="M213">
        <f xml:space="preserve"> Tableau1[[#This Row],[C]] - 0.5 * (-50) * (Tableau1[[#This Row],[P]] - $P$4)</f>
        <v>3031.4759680032457</v>
      </c>
    </row>
    <row r="214" spans="2:13" x14ac:dyDescent="0.3">
      <c r="B214">
        <v>212</v>
      </c>
      <c r="C214">
        <f t="shared" si="3"/>
        <v>1.3974548700794129</v>
      </c>
      <c r="D214">
        <f>Tableau1[[#This Row],[d1]]-$R$4*SQRT($O$4)</f>
        <v>0.49745487007941291</v>
      </c>
      <c r="E214">
        <f>NORMSDIST(Tableau1[[#This Row],[d1]])</f>
        <v>0.91886158559764086</v>
      </c>
      <c r="F214">
        <f>NORMSDIST(Tableau1[[#This Row],[d2]])</f>
        <v>0.69056583986106579</v>
      </c>
      <c r="G214">
        <f>Tableau1[[#This Row],[P]]*Tableau1[[#This Row],[N(d1)]]-$P$4*EXP(-$N$4*$O$4)*Tableau1[[#This Row],[N(d2)]]</f>
        <v>132.39443423576495</v>
      </c>
      <c r="L214">
        <f>MAX(Tableau1[[#This Row],[P]]-$P$4)-Tableau1[[#This Row],[C]]</f>
        <v>-15.394434235764948</v>
      </c>
      <c r="M214">
        <f xml:space="preserve"> Tableau1[[#This Row],[C]] - 0.5 * (-50) * (Tableau1[[#This Row],[P]] - $P$4)</f>
        <v>3057.3944342357649</v>
      </c>
    </row>
    <row r="215" spans="2:13" x14ac:dyDescent="0.3">
      <c r="B215">
        <v>213</v>
      </c>
      <c r="C215">
        <f t="shared" si="3"/>
        <v>1.4026836378987604</v>
      </c>
      <c r="D215">
        <f>Tableau1[[#This Row],[d1]]-$R$4*SQRT($O$4)</f>
        <v>0.50268363789876036</v>
      </c>
      <c r="E215">
        <f>NORMSDIST(Tableau1[[#This Row],[d1]])</f>
        <v>0.91964440070411668</v>
      </c>
      <c r="F215">
        <f>NORMSDIST(Tableau1[[#This Row],[d2]])</f>
        <v>0.69240664239233585</v>
      </c>
      <c r="G215">
        <f>Tableau1[[#This Row],[P]]*Tableau1[[#This Row],[N(d1)]]-$P$4*EXP(-$N$4*$O$4)*Tableau1[[#This Row],[N(d2)]]</f>
        <v>133.31368801346019</v>
      </c>
      <c r="L215">
        <f>MAX(Tableau1[[#This Row],[P]]-$P$4)-Tableau1[[#This Row],[C]]</f>
        <v>-15.313688013460194</v>
      </c>
      <c r="M215">
        <f xml:space="preserve"> Tableau1[[#This Row],[C]] - 0.5 * (-50) * (Tableau1[[#This Row],[P]] - $P$4)</f>
        <v>3083.3136880134603</v>
      </c>
    </row>
    <row r="216" spans="2:13" x14ac:dyDescent="0.3">
      <c r="B216">
        <v>214</v>
      </c>
      <c r="C216">
        <f t="shared" si="3"/>
        <v>1.4078879149125674</v>
      </c>
      <c r="D216">
        <f>Tableau1[[#This Row],[d1]]-$R$4*SQRT($O$4)</f>
        <v>0.50788791491256735</v>
      </c>
      <c r="E216">
        <f>NORMSDIST(Tableau1[[#This Row],[d1]])</f>
        <v>0.92041786892116295</v>
      </c>
      <c r="F216">
        <f>NORMSDIST(Tableau1[[#This Row],[d2]])</f>
        <v>0.69423402478920959</v>
      </c>
      <c r="G216">
        <f>Tableau1[[#This Row],[P]]*Tableau1[[#This Row],[N(d1)]]-$P$4*EXP(-$N$4*$O$4)*Tableau1[[#This Row],[N(d2)]]</f>
        <v>134.23371992156871</v>
      </c>
      <c r="L216">
        <f>MAX(Tableau1[[#This Row],[P]]-$P$4)-Tableau1[[#This Row],[C]]</f>
        <v>-15.233719921568706</v>
      </c>
      <c r="M216">
        <f xml:space="preserve"> Tableau1[[#This Row],[C]] - 0.5 * (-50) * (Tableau1[[#This Row],[P]] - $P$4)</f>
        <v>3109.2337199215685</v>
      </c>
    </row>
    <row r="217" spans="2:13" x14ac:dyDescent="0.3">
      <c r="B217">
        <v>215</v>
      </c>
      <c r="C217">
        <f t="shared" si="3"/>
        <v>1.41306792947458</v>
      </c>
      <c r="D217">
        <f>Tableau1[[#This Row],[d1]]-$R$4*SQRT($O$4)</f>
        <v>0.51306792947458002</v>
      </c>
      <c r="E217">
        <f>NORMSDIST(Tableau1[[#This Row],[d1]])</f>
        <v>0.92118212409836175</v>
      </c>
      <c r="F217">
        <f>NORMSDIST(Tableau1[[#This Row],[d2]])</f>
        <v>0.69604809789736066</v>
      </c>
      <c r="G217">
        <f>Tableau1[[#This Row],[P]]*Tableau1[[#This Row],[N(d1)]]-$P$4*EXP(-$N$4*$O$4)*Tableau1[[#This Row],[N(d2)]]</f>
        <v>135.15452068031411</v>
      </c>
      <c r="L217">
        <f>MAX(Tableau1[[#This Row],[P]]-$P$4)-Tableau1[[#This Row],[C]]</f>
        <v>-15.154520680314107</v>
      </c>
      <c r="M217">
        <f xml:space="preserve"> Tableau1[[#This Row],[C]] - 0.5 * (-50) * (Tableau1[[#This Row],[P]] - $P$4)</f>
        <v>3135.1545206803139</v>
      </c>
    </row>
    <row r="218" spans="2:13" x14ac:dyDescent="0.3">
      <c r="B218">
        <v>216</v>
      </c>
      <c r="C218">
        <f t="shared" si="3"/>
        <v>1.4182239067595823</v>
      </c>
      <c r="D218">
        <f>Tableau1[[#This Row],[d1]]-$R$4*SQRT($O$4)</f>
        <v>0.5182239067595823</v>
      </c>
      <c r="E218">
        <f>NORMSDIST(Tableau1[[#This Row],[d1]])</f>
        <v>0.92193729784797873</v>
      </c>
      <c r="F218">
        <f>NORMSDIST(Tableau1[[#This Row],[d2]])</f>
        <v>0.69784897167065885</v>
      </c>
      <c r="G218">
        <f>Tableau1[[#This Row],[P]]*Tableau1[[#This Row],[N(d1)]]-$P$4*EXP(-$N$4*$O$4)*Tableau1[[#This Row],[N(d2)]]</f>
        <v>136.0760811426473</v>
      </c>
      <c r="L218">
        <f>MAX(Tableau1[[#This Row],[P]]-$P$4)-Tableau1[[#This Row],[C]]</f>
        <v>-15.076081142647297</v>
      </c>
      <c r="M218">
        <f xml:space="preserve"> Tableau1[[#This Row],[C]] - 0.5 * (-50) * (Tableau1[[#This Row],[P]] - $P$4)</f>
        <v>3161.0760811426471</v>
      </c>
    </row>
    <row r="219" spans="2:13" x14ac:dyDescent="0.3">
      <c r="B219">
        <v>217</v>
      </c>
      <c r="C219">
        <f t="shared" si="3"/>
        <v>1.4233560688221321</v>
      </c>
      <c r="D219">
        <f>Tableau1[[#This Row],[d1]]-$R$4*SQRT($O$4)</f>
        <v>0.52335606882213204</v>
      </c>
      <c r="E219">
        <f>NORMSDIST(Tableau1[[#This Row],[d1]])</f>
        <v>0.92268351958755745</v>
      </c>
      <c r="F219">
        <f>NORMSDIST(Tableau1[[#This Row],[d2]])</f>
        <v>0.699636755174186</v>
      </c>
      <c r="G219">
        <f>Tableau1[[#This Row],[P]]*Tableau1[[#This Row],[N(d1)]]-$P$4*EXP(-$N$4*$O$4)*Tableau1[[#This Row],[N(d2)]]</f>
        <v>136.99839229203064</v>
      </c>
      <c r="L219">
        <f>MAX(Tableau1[[#This Row],[P]]-$P$4)-Tableau1[[#This Row],[C]]</f>
        <v>-14.998392292030644</v>
      </c>
      <c r="M219">
        <f xml:space="preserve"> Tableau1[[#This Row],[C]] - 0.5 * (-50) * (Tableau1[[#This Row],[P]] - $P$4)</f>
        <v>3186.9983922920305</v>
      </c>
    </row>
    <row r="220" spans="2:13" x14ac:dyDescent="0.3">
      <c r="B220">
        <v>218</v>
      </c>
      <c r="C220">
        <f t="shared" si="3"/>
        <v>1.4284646346539425</v>
      </c>
      <c r="D220">
        <f>Tableau1[[#This Row],[d1]]-$R$4*SQRT($O$4)</f>
        <v>0.52846463465394244</v>
      </c>
      <c r="E220">
        <f>NORMSDIST(Tableau1[[#This Row],[d1]])</f>
        <v>0.92342091658161285</v>
      </c>
      <c r="F220">
        <f>NORMSDIST(Tableau1[[#This Row],[d2]])</f>
        <v>0.70141155658743581</v>
      </c>
      <c r="G220">
        <f>Tableau1[[#This Row],[P]]*Tableau1[[#This Row],[N(d1)]]-$P$4*EXP(-$N$4*$O$4)*Tableau1[[#This Row],[N(d2)]]</f>
        <v>137.92144524026403</v>
      </c>
      <c r="L220">
        <f>MAX(Tableau1[[#This Row],[P]]-$P$4)-Tableau1[[#This Row],[C]]</f>
        <v>-14.921445240264035</v>
      </c>
      <c r="M220">
        <f xml:space="preserve"> Tableau1[[#This Row],[C]] - 0.5 * (-50) * (Tableau1[[#This Row],[P]] - $P$4)</f>
        <v>3212.9214452402639</v>
      </c>
    </row>
    <row r="221" spans="2:13" x14ac:dyDescent="0.3">
      <c r="B221">
        <v>219</v>
      </c>
      <c r="C221">
        <f t="shared" si="3"/>
        <v>1.4335498202399555</v>
      </c>
      <c r="D221">
        <f>Tableau1[[#This Row],[d1]]-$R$4*SQRT($O$4)</f>
        <v>0.53354982023995545</v>
      </c>
      <c r="E221">
        <f>NORMSDIST(Tableau1[[#This Row],[d1]])</f>
        <v>0.92414961398244255</v>
      </c>
      <c r="F221">
        <f>NORMSDIST(Tableau1[[#This Row],[d2]])</f>
        <v>0.7031734832076918</v>
      </c>
      <c r="G221">
        <f>Tableau1[[#This Row],[P]]*Tableau1[[#This Row],[N(d1)]]-$P$4*EXP(-$N$4*$O$4)*Tableau1[[#This Row],[N(d2)]]</f>
        <v>138.84523122535248</v>
      </c>
      <c r="L221">
        <f>MAX(Tableau1[[#This Row],[P]]-$P$4)-Tableau1[[#This Row],[C]]</f>
        <v>-14.845231225352478</v>
      </c>
      <c r="M221">
        <f xml:space="preserve"> Tableau1[[#This Row],[C]] - 0.5 * (-50) * (Tableau1[[#This Row],[P]] - $P$4)</f>
        <v>3238.8452312253526</v>
      </c>
    </row>
    <row r="222" spans="2:13" x14ac:dyDescent="0.3">
      <c r="B222">
        <v>220</v>
      </c>
      <c r="C222">
        <f t="shared" si="3"/>
        <v>1.4386118386131341</v>
      </c>
      <c r="D222">
        <f>Tableau1[[#This Row],[d1]]-$R$4*SQRT($O$4)</f>
        <v>0.53861183861313411</v>
      </c>
      <c r="E222">
        <f>NORMSDIST(Tableau1[[#This Row],[d1]])</f>
        <v>0.92486973487007795</v>
      </c>
      <c r="F222">
        <f>NORMSDIST(Tableau1[[#This Row],[d2]])</f>
        <v>0.70492264145357142</v>
      </c>
      <c r="G222">
        <f>Tableau1[[#This Row],[P]]*Tableau1[[#This Row],[N(d1)]]-$P$4*EXP(-$N$4*$O$4)*Tableau1[[#This Row],[N(d2)]]</f>
        <v>139.76974160941378</v>
      </c>
      <c r="L222">
        <f>MAX(Tableau1[[#This Row],[P]]-$P$4)-Tableau1[[#This Row],[C]]</f>
        <v>-14.769741609413785</v>
      </c>
      <c r="M222">
        <f xml:space="preserve"> Tableau1[[#This Row],[C]] - 0.5 * (-50) * (Tableau1[[#This Row],[P]] - $P$4)</f>
        <v>3264.7697416094138</v>
      </c>
    </row>
    <row r="223" spans="2:13" x14ac:dyDescent="0.3">
      <c r="B223">
        <v>221</v>
      </c>
      <c r="C223">
        <f t="shared" si="3"/>
        <v>1.4436508999080133</v>
      </c>
      <c r="D223">
        <f>Tableau1[[#This Row],[d1]]-$R$4*SQRT($O$4)</f>
        <v>0.5436508999080133</v>
      </c>
      <c r="E223">
        <f>NORMSDIST(Tableau1[[#This Row],[d1]])</f>
        <v>0.92558140029139391</v>
      </c>
      <c r="F223">
        <f>NORMSDIST(Tableau1[[#This Row],[d2]])</f>
        <v>0.70665913686872739</v>
      </c>
      <c r="G223">
        <f>Tableau1[[#This Row],[P]]*Tableau1[[#This Row],[N(d1)]]-$P$4*EXP(-$N$4*$O$4)*Tableau1[[#This Row],[N(d2)]]</f>
        <v>140.69496787662601</v>
      </c>
      <c r="L223">
        <f>MAX(Tableau1[[#This Row],[P]]-$P$4)-Tableau1[[#This Row],[C]]</f>
        <v>-14.694967876626009</v>
      </c>
      <c r="M223">
        <f xml:space="preserve"> Tableau1[[#This Row],[C]] - 0.5 * (-50) * (Tableau1[[#This Row],[P]] - $P$4)</f>
        <v>3290.6949678766259</v>
      </c>
    </row>
    <row r="224" spans="2:13" x14ac:dyDescent="0.3">
      <c r="B224">
        <v>222</v>
      </c>
      <c r="C224">
        <f t="shared" si="3"/>
        <v>1.4486672114130428</v>
      </c>
      <c r="D224">
        <f>Tableau1[[#This Row],[d1]]-$R$4*SQRT($O$4)</f>
        <v>0.54866721141304275</v>
      </c>
      <c r="E224">
        <f>NORMSDIST(Tableau1[[#This Row],[d1]])</f>
        <v>0.926284729298396</v>
      </c>
      <c r="F224">
        <f>NORMSDIST(Tableau1[[#This Row],[d2]])</f>
        <v>0.70838307412569912</v>
      </c>
      <c r="G224">
        <f>Tableau1[[#This Row],[P]]*Tableau1[[#This Row],[N(d1)]]-$P$4*EXP(-$N$4*$O$4)*Tableau1[[#This Row],[N(d2)]]</f>
        <v>141.62090163121354</v>
      </c>
      <c r="L224">
        <f>MAX(Tableau1[[#This Row],[P]]-$P$4)-Tableau1[[#This Row],[C]]</f>
        <v>-14.620901631213542</v>
      </c>
      <c r="M224">
        <f xml:space="preserve"> Tableau1[[#This Row],[C]] - 0.5 * (-50) * (Tableau1[[#This Row],[P]] - $P$4)</f>
        <v>3316.6209016312137</v>
      </c>
    </row>
    <row r="225" spans="2:13" x14ac:dyDescent="0.3">
      <c r="B225">
        <v>223</v>
      </c>
      <c r="C225">
        <f t="shared" si="3"/>
        <v>1.4536609776217533</v>
      </c>
      <c r="D225">
        <f>Tableau1[[#This Row],[d1]]-$R$4*SQRT($O$4)</f>
        <v>0.55366097762175326</v>
      </c>
      <c r="E225">
        <f>NORMSDIST(Tableau1[[#This Row],[d1]])</f>
        <v>0.92697983898570491</v>
      </c>
      <c r="F225">
        <f>NORMSDIST(Tableau1[[#This Row],[d2]])</f>
        <v>0.71009455702990421</v>
      </c>
      <c r="G225">
        <f>Tableau1[[#This Row],[P]]*Tableau1[[#This Row],[N(d1)]]-$P$4*EXP(-$N$4*$O$4)*Tableau1[[#This Row],[N(d2)]]</f>
        <v>142.54753459547089</v>
      </c>
      <c r="L225">
        <f>MAX(Tableau1[[#This Row],[P]]-$P$4)-Tableau1[[#This Row],[C]]</f>
        <v>-14.547534595470893</v>
      </c>
      <c r="M225">
        <f xml:space="preserve"> Tableau1[[#This Row],[C]] - 0.5 * (-50) * (Tableau1[[#This Row],[P]] - $P$4)</f>
        <v>3342.547534595471</v>
      </c>
    </row>
    <row r="226" spans="2:13" x14ac:dyDescent="0.3">
      <c r="B226">
        <v>224</v>
      </c>
      <c r="C226">
        <f t="shared" si="3"/>
        <v>1.4586324002827764</v>
      </c>
      <c r="D226">
        <f>Tableau1[[#This Row],[d1]]-$R$4*SQRT($O$4)</f>
        <v>0.55863240028277639</v>
      </c>
      <c r="E226">
        <f>NORMSDIST(Tableau1[[#This Row],[d1]])</f>
        <v>0.92766684452725612</v>
      </c>
      <c r="F226">
        <f>NORMSDIST(Tableau1[[#This Row],[d2]])</f>
        <v>0.71179368852376246</v>
      </c>
      <c r="G226">
        <f>Tableau1[[#This Row],[P]]*Tableau1[[#This Row],[N(d1)]]-$P$4*EXP(-$N$4*$O$4)*Tableau1[[#This Row],[N(d2)]]</f>
        <v>143.47485860782393</v>
      </c>
      <c r="L226">
        <f>MAX(Tableau1[[#This Row],[P]]-$P$4)-Tableau1[[#This Row],[C]]</f>
        <v>-14.474858607823933</v>
      </c>
      <c r="M226">
        <f xml:space="preserve"> Tableau1[[#This Row],[C]] - 0.5 * (-50) * (Tableau1[[#This Row],[P]] - $P$4)</f>
        <v>3368.474858607824</v>
      </c>
    </row>
    <row r="227" spans="2:13" x14ac:dyDescent="0.3">
      <c r="B227">
        <v>225</v>
      </c>
      <c r="C227">
        <f t="shared" si="3"/>
        <v>1.4635816784487548</v>
      </c>
      <c r="D227">
        <f>Tableau1[[#This Row],[d1]]-$R$4*SQRT($O$4)</f>
        <v>0.56358167844875473</v>
      </c>
      <c r="E227">
        <f>NORMSDIST(Tableau1[[#This Row],[d1]])</f>
        <v>0.92834585921223145</v>
      </c>
      <c r="F227">
        <f>NORMSDIST(Tableau1[[#This Row],[d2]])</f>
        <v>0.7134805706909455</v>
      </c>
      <c r="G227">
        <f>Tableau1[[#This Row],[P]]*Tableau1[[#This Row],[N(d1)]]-$P$4*EXP(-$N$4*$O$4)*Tableau1[[#This Row],[N(d2)]]</f>
        <v>144.40286562092712</v>
      </c>
      <c r="L227">
        <f>MAX(Tableau1[[#This Row],[P]]-$P$4)-Tableau1[[#This Row],[C]]</f>
        <v>-14.402865620927116</v>
      </c>
      <c r="M227">
        <f xml:space="preserve"> Tableau1[[#This Row],[C]] - 0.5 * (-50) * (Tableau1[[#This Row],[P]] - $P$4)</f>
        <v>3394.4028656209271</v>
      </c>
    </row>
    <row r="228" spans="2:13" x14ac:dyDescent="0.3">
      <c r="B228">
        <v>226</v>
      </c>
      <c r="C228">
        <f t="shared" si="3"/>
        <v>1.4685090085241612</v>
      </c>
      <c r="D228">
        <f>Tableau1[[#This Row],[d1]]-$R$4*SQRT($O$4)</f>
        <v>0.5685090085241612</v>
      </c>
      <c r="E228">
        <f>NORMSDIST(Tableau1[[#This Row],[d1]])</f>
        <v>0.92901699448024222</v>
      </c>
      <c r="F228">
        <f>NORMSDIST(Tableau1[[#This Row],[d2]])</f>
        <v>0.71515530476074307</v>
      </c>
      <c r="G228">
        <f>Tableau1[[#This Row],[P]]*Tableau1[[#This Row],[N(d1)]]-$P$4*EXP(-$N$4*$O$4)*Tableau1[[#This Row],[N(d2)]]</f>
        <v>145.33154769979626</v>
      </c>
      <c r="L228">
        <f>MAX(Tableau1[[#This Row],[P]]-$P$4)-Tableau1[[#This Row],[C]]</f>
        <v>-14.331547699796261</v>
      </c>
      <c r="M228">
        <f xml:space="preserve"> Tableau1[[#This Row],[C]] - 0.5 * (-50) * (Tableau1[[#This Row],[P]] - $P$4)</f>
        <v>3420.3315476997964</v>
      </c>
    </row>
    <row r="229" spans="2:13" x14ac:dyDescent="0.3">
      <c r="B229">
        <v>227</v>
      </c>
      <c r="C229">
        <f t="shared" si="3"/>
        <v>1.4734145843120687</v>
      </c>
      <c r="D229">
        <f>Tableau1[[#This Row],[d1]]-$R$4*SQRT($O$4)</f>
        <v>0.57341458431206871</v>
      </c>
      <c r="E229">
        <f>NORMSDIST(Tableau1[[#This Row],[d1]])</f>
        <v>0.92968035995577891</v>
      </c>
      <c r="F229">
        <f>NORMSDIST(Tableau1[[#This Row],[d2]])</f>
        <v>0.71681799111253997</v>
      </c>
      <c r="G229">
        <f>Tableau1[[#This Row],[P]]*Tableau1[[#This Row],[N(d1)]]-$P$4*EXP(-$N$4*$O$4)*Tableau1[[#This Row],[N(d2)]]</f>
        <v>146.2608970199766</v>
      </c>
      <c r="L229">
        <f>MAX(Tableau1[[#This Row],[P]]-$P$4)-Tableau1[[#This Row],[C]]</f>
        <v>-14.260897019976596</v>
      </c>
      <c r="M229">
        <f xml:space="preserve"> Tableau1[[#This Row],[C]] - 0.5 * (-50) * (Tableau1[[#This Row],[P]] - $P$4)</f>
        <v>3446.2608970199767</v>
      </c>
    </row>
    <row r="230" spans="2:13" x14ac:dyDescent="0.3">
      <c r="B230">
        <v>228</v>
      </c>
      <c r="C230">
        <f t="shared" si="3"/>
        <v>1.4782985970598888</v>
      </c>
      <c r="D230">
        <f>Tableau1[[#This Row],[d1]]-$R$4*SQRT($O$4)</f>
        <v>0.57829859705988873</v>
      </c>
      <c r="E230">
        <f>NORMSDIST(Tableau1[[#This Row],[d1]])</f>
        <v>0.93033606348194553</v>
      </c>
      <c r="F230">
        <f>NORMSDIST(Tableau1[[#This Row],[d2]])</f>
        <v>0.71846872928039762</v>
      </c>
      <c r="G230">
        <f>Tableau1[[#This Row],[P]]*Tableau1[[#This Row],[N(d1)]]-$P$4*EXP(-$N$4*$O$4)*Tableau1[[#This Row],[N(d2)]]</f>
        <v>147.19090586574416</v>
      </c>
      <c r="L230">
        <f>MAX(Tableau1[[#This Row],[P]]-$P$4)-Tableau1[[#This Row],[C]]</f>
        <v>-14.190905865744156</v>
      </c>
      <c r="M230">
        <f xml:space="preserve"> Tableau1[[#This Row],[C]] - 0.5 * (-50) * (Tableau1[[#This Row],[P]] - $P$4)</f>
        <v>3472.1909058657443</v>
      </c>
    </row>
    <row r="231" spans="2:13" x14ac:dyDescent="0.3">
      <c r="B231">
        <v>229</v>
      </c>
      <c r="C231">
        <f t="shared" si="3"/>
        <v>1.4831612355041097</v>
      </c>
      <c r="D231">
        <f>Tableau1[[#This Row],[d1]]-$R$4*SQRT($O$4)</f>
        <v>0.5831612355041097</v>
      </c>
      <c r="E231">
        <f>NORMSDIST(Tableau1[[#This Row],[d1]])</f>
        <v>0.9309842111534935</v>
      </c>
      <c r="F231">
        <f>NORMSDIST(Tableau1[[#This Row],[d2]])</f>
        <v>0.72010761795773104</v>
      </c>
      <c r="G231">
        <f>Tableau1[[#This Row],[P]]*Tableau1[[#This Row],[N(d1)]]-$P$4*EXP(-$N$4*$O$4)*Tableau1[[#This Row],[N(d2)]]</f>
        <v>148.12156662834133</v>
      </c>
      <c r="L231">
        <f>MAX(Tableau1[[#This Row],[P]]-$P$4)-Tableau1[[#This Row],[C]]</f>
        <v>-14.121566628341327</v>
      </c>
      <c r="M231">
        <f xml:space="preserve"> Tableau1[[#This Row],[C]] - 0.5 * (-50) * (Tableau1[[#This Row],[P]] - $P$4)</f>
        <v>3498.1215666283415</v>
      </c>
    </row>
    <row r="232" spans="2:13" x14ac:dyDescent="0.3">
      <c r="B232">
        <v>230</v>
      </c>
      <c r="C232">
        <f t="shared" si="3"/>
        <v>1.4880026859140605</v>
      </c>
      <c r="D232">
        <f>Tableau1[[#This Row],[d1]]-$R$4*SQRT($O$4)</f>
        <v>0.58800268591406046</v>
      </c>
      <c r="E232">
        <f>NORMSDIST(Tableau1[[#This Row],[d1]])</f>
        <v>0.93162490734917247</v>
      </c>
      <c r="F232">
        <f>NORMSDIST(Tableau1[[#This Row],[d2]])</f>
        <v>0.72173475500207807</v>
      </c>
      <c r="G232">
        <f>Tableau1[[#This Row],[P]]*Tableau1[[#This Row],[N(d1)]]-$P$4*EXP(-$N$4*$O$4)*Tableau1[[#This Row],[N(d2)]]</f>
        <v>149.05287180424457</v>
      </c>
      <c r="L232">
        <f>MAX(Tableau1[[#This Row],[P]]-$P$4)-Tableau1[[#This Row],[C]]</f>
        <v>-14.052871804244575</v>
      </c>
      <c r="M232">
        <f xml:space="preserve"> Tableau1[[#This Row],[C]] - 0.5 * (-50) * (Tableau1[[#This Row],[P]] - $P$4)</f>
        <v>3524.0528718042447</v>
      </c>
    </row>
    <row r="233" spans="2:13" x14ac:dyDescent="0.3">
      <c r="B233">
        <v>231</v>
      </c>
      <c r="C233">
        <f t="shared" si="3"/>
        <v>1.4928231321347252</v>
      </c>
      <c r="D233">
        <f>Tableau1[[#This Row],[d1]]-$R$4*SQRT($O$4)</f>
        <v>0.59282313213472515</v>
      </c>
      <c r="E233">
        <f>NORMSDIST(Tableau1[[#This Row],[d1]])</f>
        <v>0.9322582547634114</v>
      </c>
      <c r="F233">
        <f>NORMSDIST(Tableau1[[#This Row],[d2]])</f>
        <v>0.72335023743995286</v>
      </c>
      <c r="G233">
        <f>Tableau1[[#This Row],[P]]*Tableau1[[#This Row],[N(d1)]]-$P$4*EXP(-$N$4*$O$4)*Tableau1[[#This Row],[N(d2)]]</f>
        <v>149.98481399346423</v>
      </c>
      <c r="L233">
        <f>MAX(Tableau1[[#This Row],[P]]-$P$4)-Tableau1[[#This Row],[C]]</f>
        <v>-13.984813993464229</v>
      </c>
      <c r="M233">
        <f xml:space="preserve"> Tableau1[[#This Row],[C]] - 0.5 * (-50) * (Tableau1[[#This Row],[P]] - $P$4)</f>
        <v>3549.9848139934643</v>
      </c>
    </row>
    <row r="234" spans="2:13" x14ac:dyDescent="0.3">
      <c r="B234">
        <v>232</v>
      </c>
      <c r="C234">
        <f t="shared" si="3"/>
        <v>1.4976227556286323</v>
      </c>
      <c r="D234">
        <f>Tableau1[[#This Row],[d1]]-$R$4*SQRT($O$4)</f>
        <v>0.59762275562863232</v>
      </c>
      <c r="E234">
        <f>NORMSDIST(Tableau1[[#This Row],[d1]])</f>
        <v>0.93288435443734796</v>
      </c>
      <c r="F234">
        <f>NORMSDIST(Tableau1[[#This Row],[d2]])</f>
        <v>0.72495416147177827</v>
      </c>
      <c r="G234">
        <f>Tableau1[[#This Row],[P]]*Tableau1[[#This Row],[N(d1)]]-$P$4*EXP(-$N$4*$O$4)*Tableau1[[#This Row],[N(d2)]]</f>
        <v>150.91738589787599</v>
      </c>
      <c r="L234">
        <f>MAX(Tableau1[[#This Row],[P]]-$P$4)-Tableau1[[#This Row],[C]]</f>
        <v>-13.917385897875988</v>
      </c>
      <c r="M234">
        <f xml:space="preserve"> Tableau1[[#This Row],[C]] - 0.5 * (-50) * (Tableau1[[#This Row],[P]] - $P$4)</f>
        <v>3575.9173858978761</v>
      </c>
    </row>
    <row r="235" spans="2:13" x14ac:dyDescent="0.3">
      <c r="B235">
        <v>233</v>
      </c>
      <c r="C235">
        <f t="shared" si="3"/>
        <v>1.502401735516844</v>
      </c>
      <c r="D235">
        <f>Tableau1[[#This Row],[d1]]-$R$4*SQRT($O$4)</f>
        <v>0.60240173551684395</v>
      </c>
      <c r="E235">
        <f>NORMSDIST(Tableau1[[#This Row],[d1]])</f>
        <v>0.93350330578921725</v>
      </c>
      <c r="F235">
        <f>NORMSDIST(Tableau1[[#This Row],[d2]])</f>
        <v>0.72654662247689228</v>
      </c>
      <c r="G235">
        <f>Tableau1[[#This Row],[P]]*Tableau1[[#This Row],[N(d1)]]-$P$4*EXP(-$N$4*$O$4)*Tableau1[[#This Row],[N(d2)]]</f>
        <v>151.8505803195826</v>
      </c>
      <c r="L235">
        <f>MAX(Tableau1[[#This Row],[P]]-$P$4)-Tableau1[[#This Row],[C]]</f>
        <v>-13.850580319582605</v>
      </c>
      <c r="M235">
        <f xml:space="preserve"> Tableau1[[#This Row],[C]] - 0.5 * (-50) * (Tableau1[[#This Row],[P]] - $P$4)</f>
        <v>3601.8505803195826</v>
      </c>
    </row>
    <row r="236" spans="2:13" x14ac:dyDescent="0.3">
      <c r="B236">
        <v>234</v>
      </c>
      <c r="C236">
        <f t="shared" si="3"/>
        <v>1.5071602486190672</v>
      </c>
      <c r="D236">
        <f>Tableau1[[#This Row],[d1]]-$R$4*SQRT($O$4)</f>
        <v>0.60716024861906714</v>
      </c>
      <c r="E236">
        <f>NORMSDIST(Tableau1[[#This Row],[d1]])</f>
        <v>0.93411520664411818</v>
      </c>
      <c r="F236">
        <f>NORMSDIST(Tableau1[[#This Row],[d2]])</f>
        <v>0.72812771501862295</v>
      </c>
      <c r="G236">
        <f>Tableau1[[#This Row],[P]]*Tableau1[[#This Row],[N(d1)]]-$P$4*EXP(-$N$4*$O$4)*Tableau1[[#This Row],[N(d2)]]</f>
        <v>152.7843901593061</v>
      </c>
      <c r="L236">
        <f>MAX(Tableau1[[#This Row],[P]]-$P$4)-Tableau1[[#This Row],[C]]</f>
        <v>-13.784390159306099</v>
      </c>
      <c r="M236">
        <f xml:space="preserve"> Tableau1[[#This Row],[C]] - 0.5 * (-50) * (Tableau1[[#This Row],[P]] - $P$4)</f>
        <v>3627.784390159306</v>
      </c>
    </row>
    <row r="237" spans="2:13" x14ac:dyDescent="0.3">
      <c r="B237">
        <v>235</v>
      </c>
      <c r="C237">
        <f t="shared" si="3"/>
        <v>1.5118984694929092</v>
      </c>
      <c r="D237">
        <f>Tableau1[[#This Row],[d1]]-$R$4*SQRT($O$4)</f>
        <v>0.61189846949290916</v>
      </c>
      <c r="E237">
        <f>NORMSDIST(Tableau1[[#This Row],[d1]])</f>
        <v>0.93472015326316826</v>
      </c>
      <c r="F237">
        <f>NORMSDIST(Tableau1[[#This Row],[d2]])</f>
        <v>0.72969753284942585</v>
      </c>
      <c r="G237">
        <f>Tableau1[[#This Row],[P]]*Tableau1[[#This Row],[N(d1)]]-$P$4*EXP(-$N$4*$O$4)*Tableau1[[#This Row],[N(d2)]]</f>
        <v>153.71880841480927</v>
      </c>
      <c r="L237">
        <f>MAX(Tableau1[[#This Row],[P]]-$P$4)-Tableau1[[#This Row],[C]]</f>
        <v>-13.718808414809274</v>
      </c>
      <c r="M237">
        <f xml:space="preserve"> Tableau1[[#This Row],[C]] - 0.5 * (-50) * (Tableau1[[#This Row],[P]] - $P$4)</f>
        <v>3653.7188084148092</v>
      </c>
    </row>
    <row r="238" spans="2:13" x14ac:dyDescent="0.3">
      <c r="B238">
        <v>236</v>
      </c>
      <c r="C238">
        <f t="shared" si="3"/>
        <v>1.5166165704722991</v>
      </c>
      <c r="D238">
        <f>Tableau1[[#This Row],[d1]]-$R$4*SQRT($O$4)</f>
        <v>0.61661657047229912</v>
      </c>
      <c r="E238">
        <f>NORMSDIST(Tableau1[[#This Row],[d1]])</f>
        <v>0.93531824037206179</v>
      </c>
      <c r="F238">
        <f>NORMSDIST(Tableau1[[#This Row],[d2]])</f>
        <v>0.73125616891607992</v>
      </c>
      <c r="G238">
        <f>Tableau1[[#This Row],[P]]*Tableau1[[#This Row],[N(d1)]]-$P$4*EXP(-$N$4*$O$4)*Tableau1[[#This Row],[N(d2)]]</f>
        <v>154.65382817934579</v>
      </c>
      <c r="L238">
        <f>MAX(Tableau1[[#This Row],[P]]-$P$4)-Tableau1[[#This Row],[C]]</f>
        <v>-13.653828179345794</v>
      </c>
      <c r="M238">
        <f xml:space="preserve"> Tableau1[[#This Row],[C]] - 0.5 * (-50) * (Tableau1[[#This Row],[P]] - $P$4)</f>
        <v>3679.653828179346</v>
      </c>
    </row>
    <row r="239" spans="2:13" x14ac:dyDescent="0.3">
      <c r="B239">
        <v>237</v>
      </c>
      <c r="C239">
        <f t="shared" si="3"/>
        <v>1.5213147217051004</v>
      </c>
      <c r="D239">
        <f>Tableau1[[#This Row],[d1]]-$R$4*SQRT($O$4)</f>
        <v>0.62131472170510038</v>
      </c>
      <c r="E239">
        <f>NORMSDIST(Tableau1[[#This Row],[d1]])</f>
        <v>0.93590956118904578</v>
      </c>
      <c r="F239">
        <f>NORMSDIST(Tableau1[[#This Row],[d2]])</f>
        <v>0.73280371536493827</v>
      </c>
      <c r="G239">
        <f>Tableau1[[#This Row],[P]]*Tableau1[[#This Row],[N(d1)]]-$P$4*EXP(-$N$4*$O$4)*Tableau1[[#This Row],[N(d2)]]</f>
        <v>155.58944264013923</v>
      </c>
      <c r="L239">
        <f>MAX(Tableau1[[#This Row],[P]]-$P$4)-Tableau1[[#This Row],[C]]</f>
        <v>-13.589442640139225</v>
      </c>
      <c r="M239">
        <f xml:space="preserve"> Tableau1[[#This Row],[C]] - 0.5 * (-50) * (Tableau1[[#This Row],[P]] - $P$4)</f>
        <v>3705.5894426401392</v>
      </c>
    </row>
    <row r="240" spans="2:13" x14ac:dyDescent="0.3">
      <c r="B240">
        <v>238</v>
      </c>
      <c r="C240">
        <f t="shared" si="3"/>
        <v>1.5259930911899264</v>
      </c>
      <c r="D240">
        <f>Tableau1[[#This Row],[d1]]-$R$4*SQRT($O$4)</f>
        <v>0.62599309118992641</v>
      </c>
      <c r="E240">
        <f>NORMSDIST(Tableau1[[#This Row],[d1]])</f>
        <v>0.93649420745232481</v>
      </c>
      <c r="F240">
        <f>NORMSDIST(Tableau1[[#This Row],[d2]])</f>
        <v>0.73434026354722703</v>
      </c>
      <c r="G240">
        <f>Tableau1[[#This Row],[P]]*Tableau1[[#This Row],[N(d1)]]-$P$4*EXP(-$N$4*$O$4)*Tableau1[[#This Row],[N(d2)]]</f>
        <v>156.52564507688879</v>
      </c>
      <c r="L240">
        <f>MAX(Tableau1[[#This Row],[P]]-$P$4)-Tableau1[[#This Row],[C]]</f>
        <v>-13.525645076888793</v>
      </c>
      <c r="M240">
        <f xml:space="preserve"> Tableau1[[#This Row],[C]] - 0.5 * (-50) * (Tableau1[[#This Row],[P]] - $P$4)</f>
        <v>3731.5256450768888</v>
      </c>
    </row>
    <row r="241" spans="2:13" x14ac:dyDescent="0.3">
      <c r="B241">
        <v>239</v>
      </c>
      <c r="C241">
        <f t="shared" si="3"/>
        <v>1.5306518448121886</v>
      </c>
      <c r="D241">
        <f>Tableau1[[#This Row],[d1]]-$R$4*SQRT($O$4)</f>
        <v>0.63065184481218861</v>
      </c>
      <c r="E241">
        <f>NORMSDIST(Tableau1[[#This Row],[d1]])</f>
        <v>0.93707226944690869</v>
      </c>
      <c r="F241">
        <f>NORMSDIST(Tableau1[[#This Row],[d2]])</f>
        <v>0.73586590402438956</v>
      </c>
      <c r="G241">
        <f>Tableau1[[#This Row],[P]]*Tableau1[[#This Row],[N(d1)]]-$P$4*EXP(-$N$4*$O$4)*Tableau1[[#This Row],[N(d2)]]</f>
        <v>157.46242886030348</v>
      </c>
      <c r="L241">
        <f>MAX(Tableau1[[#This Row],[P]]-$P$4)-Tableau1[[#This Row],[C]]</f>
        <v>-13.462428860303476</v>
      </c>
      <c r="M241">
        <f xml:space="preserve"> Tableau1[[#This Row],[C]] - 0.5 * (-50) * (Tableau1[[#This Row],[P]] - $P$4)</f>
        <v>3757.4624288603036</v>
      </c>
    </row>
    <row r="242" spans="2:13" x14ac:dyDescent="0.3">
      <c r="B242">
        <v>240</v>
      </c>
      <c r="C242">
        <f t="shared" si="3"/>
        <v>1.5352911463793895</v>
      </c>
      <c r="D242">
        <f>Tableau1[[#This Row],[d1]]-$R$4*SQRT($O$4)</f>
        <v>0.63529114637938944</v>
      </c>
      <c r="E242">
        <f>NORMSDIST(Tableau1[[#This Row],[d1]])</f>
        <v>0.93764383603091483</v>
      </c>
      <c r="F242">
        <f>NORMSDIST(Tableau1[[#This Row],[d2]])</f>
        <v>0.73738072657347198</v>
      </c>
      <c r="G242">
        <f>Tableau1[[#This Row],[P]]*Tableau1[[#This Row],[N(d1)]]-$P$4*EXP(-$N$4*$O$4)*Tableau1[[#This Row],[N(d2)]]</f>
        <v>158.39978745066134</v>
      </c>
      <c r="L242">
        <f>MAX(Tableau1[[#This Row],[P]]-$P$4)-Tableau1[[#This Row],[C]]</f>
        <v>-13.399787450661336</v>
      </c>
      <c r="M242">
        <f xml:space="preserve"> Tableau1[[#This Row],[C]] - 0.5 * (-50) * (Tableau1[[#This Row],[P]] - $P$4)</f>
        <v>3783.3997874506613</v>
      </c>
    </row>
    <row r="243" spans="2:13" x14ac:dyDescent="0.3">
      <c r="B243">
        <v>241</v>
      </c>
      <c r="C243">
        <f t="shared" si="3"/>
        <v>1.5399111576556823</v>
      </c>
      <c r="D243">
        <f>Tableau1[[#This Row],[d1]]-$R$4*SQRT($O$4)</f>
        <v>0.63991115765568229</v>
      </c>
      <c r="E243">
        <f>NORMSDIST(Tableau1[[#This Row],[d1]])</f>
        <v>0.93820899466133834</v>
      </c>
      <c r="F243">
        <f>NORMSDIST(Tableau1[[#This Row],[d2]])</f>
        <v>0.73888482019254509</v>
      </c>
      <c r="G243">
        <f>Tableau1[[#This Row],[P]]*Tableau1[[#This Row],[N(d1)]]-$P$4*EXP(-$N$4*$O$4)*Tableau1[[#This Row],[N(d2)]]</f>
        <v>159.33771439639605</v>
      </c>
      <c r="L243">
        <f>MAX(Tableau1[[#This Row],[P]]-$P$4)-Tableau1[[#This Row],[C]]</f>
        <v>-13.337714396396052</v>
      </c>
      <c r="M243">
        <f xml:space="preserve"> Tableau1[[#This Row],[C]] - 0.5 * (-50) * (Tableau1[[#This Row],[P]] - $P$4)</f>
        <v>3809.3377143963962</v>
      </c>
    </row>
    <row r="244" spans="2:13" x14ac:dyDescent="0.3">
      <c r="B244">
        <v>242</v>
      </c>
      <c r="C244">
        <f t="shared" si="3"/>
        <v>1.5445120383957174</v>
      </c>
      <c r="D244">
        <f>Tableau1[[#This Row],[d1]]-$R$4*SQRT($O$4)</f>
        <v>0.64451203839571736</v>
      </c>
      <c r="E244">
        <f>NORMSDIST(Tableau1[[#This Row],[d1]])</f>
        <v>0.93876783141930065</v>
      </c>
      <c r="F244">
        <f>NORMSDIST(Tableau1[[#This Row],[d2]])</f>
        <v>0.74037827310616067</v>
      </c>
      <c r="G244">
        <f>Tableau1[[#This Row],[P]]*Tableau1[[#This Row],[N(d1)]]-$P$4*EXP(-$N$4*$O$4)*Tableau1[[#This Row],[N(d2)]]</f>
        <v>160.27620333270823</v>
      </c>
      <c r="L244">
        <f>MAX(Tableau1[[#This Row],[P]]-$P$4)-Tableau1[[#This Row],[C]]</f>
        <v>-13.276203332708235</v>
      </c>
      <c r="M244">
        <f xml:space="preserve"> Tableau1[[#This Row],[C]] - 0.5 * (-50) * (Tableau1[[#This Row],[P]] - $P$4)</f>
        <v>3835.2762033327081</v>
      </c>
    </row>
    <row r="245" spans="2:13" x14ac:dyDescent="0.3">
      <c r="B245">
        <v>243</v>
      </c>
      <c r="C245">
        <f t="shared" si="3"/>
        <v>1.5490939463777862</v>
      </c>
      <c r="D245">
        <f>Tableau1[[#This Row],[d1]]-$R$4*SQRT($O$4)</f>
        <v>0.64909394637778617</v>
      </c>
      <c r="E245">
        <f>NORMSDIST(Tableau1[[#This Row],[d1]])</f>
        <v>0.93932043103478802</v>
      </c>
      <c r="F245">
        <f>NORMSDIST(Tableau1[[#This Row],[d2]])</f>
        <v>0.74186117277083596</v>
      </c>
      <c r="G245">
        <f>Tableau1[[#This Row],[P]]*Tableau1[[#This Row],[N(d1)]]-$P$4*EXP(-$N$4*$O$4)*Tableau1[[#This Row],[N(d2)]]</f>
        <v>161.21524798020192</v>
      </c>
      <c r="L245">
        <f>MAX(Tableau1[[#This Row],[P]]-$P$4)-Tableau1[[#This Row],[C]]</f>
        <v>-13.215247980201923</v>
      </c>
      <c r="M245">
        <f xml:space="preserve"> Tableau1[[#This Row],[C]] - 0.5 * (-50) * (Tableau1[[#This Row],[P]] - $P$4)</f>
        <v>3861.2152479802021</v>
      </c>
    </row>
    <row r="246" spans="2:13" x14ac:dyDescent="0.3">
      <c r="B246">
        <v>244</v>
      </c>
      <c r="C246">
        <f t="shared" si="3"/>
        <v>1.5536570374362899</v>
      </c>
      <c r="D246">
        <f>Tableau1[[#This Row],[d1]]-$R$4*SQRT($O$4)</f>
        <v>0.65365703743628989</v>
      </c>
      <c r="E246">
        <f>NORMSDIST(Tableau1[[#This Row],[d1]])</f>
        <v>0.9398668769108931</v>
      </c>
      <c r="F246">
        <f>NORMSDIST(Tableau1[[#This Row],[d2]])</f>
        <v>0.74333360588056629</v>
      </c>
      <c r="G246">
        <f>Tableau1[[#This Row],[P]]*Tableau1[[#This Row],[N(d1)]]-$P$4*EXP(-$N$4*$O$4)*Tableau1[[#This Row],[N(d2)]]</f>
        <v>162.15484214354581</v>
      </c>
      <c r="L246">
        <f>MAX(Tableau1[[#This Row],[P]]-$P$4)-Tableau1[[#This Row],[C]]</f>
        <v>-13.154842143545807</v>
      </c>
      <c r="M246">
        <f xml:space="preserve"> Tableau1[[#This Row],[C]] - 0.5 * (-50) * (Tableau1[[#This Row],[P]] - $P$4)</f>
        <v>3887.1548421435459</v>
      </c>
    </row>
    <row r="247" spans="2:13" x14ac:dyDescent="0.3">
      <c r="B247">
        <v>245</v>
      </c>
      <c r="C247">
        <f t="shared" si="3"/>
        <v>1.5582014654935403</v>
      </c>
      <c r="D247">
        <f>Tableau1[[#This Row],[d1]]-$R$4*SQRT($O$4)</f>
        <v>0.65820146549354031</v>
      </c>
      <c r="E247">
        <f>NORMSDIST(Tableau1[[#This Row],[d1]])</f>
        <v>0.94040725114756829</v>
      </c>
      <c r="F247">
        <f>NORMSDIST(Tableau1[[#This Row],[d2]])</f>
        <v>0.74479565837235906</v>
      </c>
      <c r="G247">
        <f>Tableau1[[#This Row],[P]]*Tableau1[[#This Row],[N(d1)]]-$P$4*EXP(-$N$4*$O$4)*Tableau1[[#This Row],[N(d2)]]</f>
        <v>163.09497971015813</v>
      </c>
      <c r="L247">
        <f>MAX(Tableau1[[#This Row],[P]]-$P$4)-Tableau1[[#This Row],[C]]</f>
        <v>-13.094979710158128</v>
      </c>
      <c r="M247">
        <f xml:space="preserve"> Tableau1[[#This Row],[C]] - 0.5 * (-50) * (Tableau1[[#This Row],[P]] - $P$4)</f>
        <v>3913.094979710158</v>
      </c>
    </row>
    <row r="248" spans="2:13" x14ac:dyDescent="0.3">
      <c r="B248">
        <v>246</v>
      </c>
      <c r="C248">
        <f t="shared" si="3"/>
        <v>1.5627273825909134</v>
      </c>
      <c r="D248">
        <f>Tableau1[[#This Row],[d1]]-$R$4*SQRT($O$4)</f>
        <v>0.66272738259091335</v>
      </c>
      <c r="E248">
        <f>NORMSDIST(Tableau1[[#This Row],[d1]])</f>
        <v>0.94094163456490265</v>
      </c>
      <c r="F248">
        <f>NORMSDIST(Tableau1[[#This Row],[d2]])</f>
        <v>0.74624741543178841</v>
      </c>
      <c r="G248">
        <f>Tableau1[[#This Row],[P]]*Tableau1[[#This Row],[N(d1)]]-$P$4*EXP(-$N$4*$O$4)*Tableau1[[#This Row],[N(d2)]]</f>
        <v>164.03565464891517</v>
      </c>
      <c r="L248">
        <f>MAX(Tableau1[[#This Row],[P]]-$P$4)-Tableau1[[#This Row],[C]]</f>
        <v>-13.03565464891517</v>
      </c>
      <c r="M248">
        <f xml:space="preserve"> Tableau1[[#This Row],[C]] - 0.5 * (-50) * (Tableau1[[#This Row],[P]] - $P$4)</f>
        <v>3939.0356546489152</v>
      </c>
    </row>
    <row r="249" spans="2:13" x14ac:dyDescent="0.3">
      <c r="B249">
        <v>247</v>
      </c>
      <c r="C249">
        <f t="shared" si="3"/>
        <v>1.5672349389193736</v>
      </c>
      <c r="D249">
        <f>Tableau1[[#This Row],[d1]]-$R$4*SQRT($O$4)</f>
        <v>0.66723493891937358</v>
      </c>
      <c r="E249">
        <f>NORMSDIST(Tableau1[[#This Row],[d1]])</f>
        <v>0.94147010672593368</v>
      </c>
      <c r="F249">
        <f>NORMSDIST(Tableau1[[#This Row],[d2]])</f>
        <v>0.74768896149856712</v>
      </c>
      <c r="G249">
        <f>Tableau1[[#This Row],[P]]*Tableau1[[#This Row],[N(d1)]]-$P$4*EXP(-$N$4*$O$4)*Tableau1[[#This Row],[N(d2)]]</f>
        <v>164.97686100888285</v>
      </c>
      <c r="L249">
        <f>MAX(Tableau1[[#This Row],[P]]-$P$4)-Tableau1[[#This Row],[C]]</f>
        <v>-12.97686100888285</v>
      </c>
      <c r="M249">
        <f xml:space="preserve"> Tableau1[[#This Row],[C]] - 0.5 * (-50) * (Tableau1[[#This Row],[P]] - $P$4)</f>
        <v>3964.9768610088827</v>
      </c>
    </row>
    <row r="250" spans="2:13" x14ac:dyDescent="0.3">
      <c r="B250">
        <v>248</v>
      </c>
      <c r="C250">
        <f t="shared" si="3"/>
        <v>1.5717242828493792</v>
      </c>
      <c r="D250">
        <f>Tableau1[[#This Row],[d1]]-$R$4*SQRT($O$4)</f>
        <v>0.67172428284937913</v>
      </c>
      <c r="E250">
        <f>NORMSDIST(Tableau1[[#This Row],[d1]])</f>
        <v>0.94199274595900284</v>
      </c>
      <c r="F250">
        <f>NORMSDIST(Tableau1[[#This Row],[d2]])</f>
        <v>0.74912038027213201</v>
      </c>
      <c r="G250">
        <f>Tableau1[[#This Row],[P]]*Tableau1[[#This Row],[N(d1)]]-$P$4*EXP(-$N$4*$O$4)*Tableau1[[#This Row],[N(d2)]]</f>
        <v>165.91859291807117</v>
      </c>
      <c r="L250">
        <f>MAX(Tableau1[[#This Row],[P]]-$P$4)-Tableau1[[#This Row],[C]]</f>
        <v>-12.91859291807117</v>
      </c>
      <c r="M250">
        <f xml:space="preserve"> Tableau1[[#This Row],[C]] - 0.5 * (-50) * (Tableau1[[#This Row],[P]] - $P$4)</f>
        <v>3990.9185929180712</v>
      </c>
    </row>
    <row r="251" spans="2:13" x14ac:dyDescent="0.3">
      <c r="B251">
        <v>249</v>
      </c>
      <c r="C251">
        <f t="shared" si="3"/>
        <v>1.5761955609601854</v>
      </c>
      <c r="D251">
        <f>Tableau1[[#This Row],[d1]]-$R$4*SQRT($O$4)</f>
        <v>0.6761955609601854</v>
      </c>
      <c r="E251">
        <f>NORMSDIST(Tableau1[[#This Row],[d1]])</f>
        <v>0.94250962937966454</v>
      </c>
      <c r="F251">
        <f>NORMSDIST(Tableau1[[#This Row],[d2]])</f>
        <v>0.75054175471724049</v>
      </c>
      <c r="G251">
        <f>Tableau1[[#This Row],[P]]*Tableau1[[#This Row],[N(d1)]]-$P$4*EXP(-$N$4*$O$4)*Tableau1[[#This Row],[N(d2)]]</f>
        <v>166.86084458220998</v>
      </c>
      <c r="L251">
        <f>MAX(Tableau1[[#This Row],[P]]-$P$4)-Tableau1[[#This Row],[C]]</f>
        <v>-12.860844582209978</v>
      </c>
      <c r="M251">
        <f xml:space="preserve"> Tableau1[[#This Row],[C]] - 0.5 * (-50) * (Tableau1[[#This Row],[P]] - $P$4)</f>
        <v>4016.8608445822101</v>
      </c>
    </row>
    <row r="252" spans="2:13" x14ac:dyDescent="0.3">
      <c r="B252">
        <v>250</v>
      </c>
      <c r="C252">
        <f t="shared" si="3"/>
        <v>1.5806489180685619</v>
      </c>
      <c r="D252">
        <f>Tableau1[[#This Row],[d1]]-$R$4*SQRT($O$4)</f>
        <v>0.68064891806856187</v>
      </c>
      <c r="E252">
        <f>NORMSDIST(Tableau1[[#This Row],[d1]])</f>
        <v>0.94302083291216099</v>
      </c>
      <c r="F252">
        <f>NORMSDIST(Tableau1[[#This Row],[d2]])</f>
        <v>0.75195316706957627</v>
      </c>
      <c r="G252">
        <f>Tableau1[[#This Row],[P]]*Tableau1[[#This Row],[N(d1)]]-$P$4*EXP(-$N$4*$O$4)*Tableau1[[#This Row],[N(d2)]]</f>
        <v>167.80361028354744</v>
      </c>
      <c r="L252">
        <f>MAX(Tableau1[[#This Row],[P]]-$P$4)-Tableau1[[#This Row],[C]]</f>
        <v>-12.803610283547442</v>
      </c>
      <c r="M252">
        <f xml:space="preserve"> Tableau1[[#This Row],[C]] - 0.5 * (-50) * (Tableau1[[#This Row],[P]] - $P$4)</f>
        <v>4042.8036102835476</v>
      </c>
    </row>
    <row r="253" spans="2:13" x14ac:dyDescent="0.3">
      <c r="B253">
        <v>251</v>
      </c>
      <c r="C253">
        <f t="shared" si="3"/>
        <v>1.5850844972569369</v>
      </c>
      <c r="D253">
        <f>Tableau1[[#This Row],[d1]]-$R$4*SQRT($O$4)</f>
        <v>0.68508449725693688</v>
      </c>
      <c r="E253">
        <f>NORMSDIST(Tableau1[[#This Row],[d1]])</f>
        <v>0.9435264313104692</v>
      </c>
      <c r="F253">
        <f>NORMSDIST(Tableau1[[#This Row],[d2]])</f>
        <v>0.75335469884136086</v>
      </c>
      <c r="G253">
        <f>Tableau1[[#This Row],[P]]*Tableau1[[#This Row],[N(d1)]]-$P$4*EXP(-$N$4*$O$4)*Tableau1[[#This Row],[N(d2)]]</f>
        <v>168.74688437966898</v>
      </c>
      <c r="L253">
        <f>MAX(Tableau1[[#This Row],[P]]-$P$4)-Tableau1[[#This Row],[C]]</f>
        <v>-12.746884379668984</v>
      </c>
      <c r="M253">
        <f xml:space="preserve"> Tableau1[[#This Row],[C]] - 0.5 * (-50) * (Tableau1[[#This Row],[P]] - $P$4)</f>
        <v>4068.7468843796692</v>
      </c>
    </row>
    <row r="254" spans="2:13" x14ac:dyDescent="0.3">
      <c r="B254">
        <v>252</v>
      </c>
      <c r="C254">
        <f t="shared" si="3"/>
        <v>1.5895024399009805</v>
      </c>
      <c r="D254">
        <f>Tableau1[[#This Row],[d1]]-$R$4*SQRT($O$4)</f>
        <v>0.68950243990098048</v>
      </c>
      <c r="E254">
        <f>NORMSDIST(Tableau1[[#This Row],[d1]])</f>
        <v>0.94402649817893158</v>
      </c>
      <c r="F254">
        <f>NORMSDIST(Tableau1[[#This Row],[d2]])</f>
        <v>0.75474643082697002</v>
      </c>
      <c r="G254">
        <f>Tableau1[[#This Row],[P]]*Tableau1[[#This Row],[N(d1)]]-$P$4*EXP(-$N$4*$O$4)*Tableau1[[#This Row],[N(d2)]]</f>
        <v>169.69066130233765</v>
      </c>
      <c r="L254">
        <f>MAX(Tableau1[[#This Row],[P]]-$P$4)-Tableau1[[#This Row],[C]]</f>
        <v>-12.690661302337645</v>
      </c>
      <c r="M254">
        <f xml:space="preserve"> Tableau1[[#This Row],[C]] - 0.5 * (-50) * (Tableau1[[#This Row],[P]] - $P$4)</f>
        <v>4094.6906613023375</v>
      </c>
    </row>
    <row r="255" spans="2:13" x14ac:dyDescent="0.3">
      <c r="B255">
        <v>253</v>
      </c>
      <c r="C255">
        <f t="shared" si="3"/>
        <v>1.5939028856966437</v>
      </c>
      <c r="D255">
        <f>Tableau1[[#This Row],[d1]]-$R$4*SQRT($O$4)</f>
        <v>0.69390288569664371</v>
      </c>
      <c r="E255">
        <f>NORMSDIST(Tableau1[[#This Row],[d1]])</f>
        <v>0.9445211059924784</v>
      </c>
      <c r="F255">
        <f>NORMSDIST(Tableau1[[#This Row],[d2]])</f>
        <v>0.75612844310854943</v>
      </c>
      <c r="G255">
        <f>Tableau1[[#This Row],[P]]*Tableau1[[#This Row],[N(d1)]]-$P$4*EXP(-$N$4*$O$4)*Tableau1[[#This Row],[N(d2)]]</f>
        <v>170.63493555635426</v>
      </c>
      <c r="L255">
        <f>MAX(Tableau1[[#This Row],[P]]-$P$4)-Tableau1[[#This Row],[C]]</f>
        <v>-12.634935556354264</v>
      </c>
      <c r="M255">
        <f xml:space="preserve"> Tableau1[[#This Row],[C]] - 0.5 * (-50) * (Tableau1[[#This Row],[P]] - $P$4)</f>
        <v>4120.6349355563543</v>
      </c>
    </row>
    <row r="256" spans="2:13" x14ac:dyDescent="0.3">
      <c r="B256">
        <v>254</v>
      </c>
      <c r="C256">
        <f t="shared" si="3"/>
        <v>1.5982859726866618</v>
      </c>
      <c r="D256">
        <f>Tableau1[[#This Row],[d1]]-$R$4*SQRT($O$4)</f>
        <v>0.69828597268666182</v>
      </c>
      <c r="E256">
        <f>NORMSDIST(Tableau1[[#This Row],[d1]])</f>
        <v>0.94501032611645086</v>
      </c>
      <c r="F256">
        <f>NORMSDIST(Tableau1[[#This Row],[d2]])</f>
        <v>0.75750081506163225</v>
      </c>
      <c r="G256">
        <f>Tableau1[[#This Row],[P]]*Tableau1[[#This Row],[N(d1)]]-$P$4*EXP(-$N$4*$O$4)*Tableau1[[#This Row],[N(d2)]]</f>
        <v>171.5797017184382</v>
      </c>
      <c r="L256">
        <f>MAX(Tableau1[[#This Row],[P]]-$P$4)-Tableau1[[#This Row],[C]]</f>
        <v>-12.579701718438201</v>
      </c>
      <c r="M256">
        <f xml:space="preserve"> Tableau1[[#This Row],[C]] - 0.5 * (-50) * (Tableau1[[#This Row],[P]] - $P$4)</f>
        <v>4146.5797017184386</v>
      </c>
    </row>
    <row r="257" spans="2:13" x14ac:dyDescent="0.3">
      <c r="B257">
        <v>255</v>
      </c>
      <c r="C257">
        <f t="shared" si="3"/>
        <v>1.6026518372865393</v>
      </c>
      <c r="D257">
        <f>Tableau1[[#This Row],[d1]]-$R$4*SQRT($O$4)</f>
        <v>0.70265183728653924</v>
      </c>
      <c r="E257">
        <f>NORMSDIST(Tableau1[[#This Row],[d1]])</f>
        <v>0.9454942288260344</v>
      </c>
      <c r="F257">
        <f>NORMSDIST(Tableau1[[#This Row],[d2]])</f>
        <v>0.75886362536075236</v>
      </c>
      <c r="G257">
        <f>Tableau1[[#This Row],[P]]*Tableau1[[#This Row],[N(d1)]]-$P$4*EXP(-$N$4*$O$4)*Tableau1[[#This Row],[N(d2)]]</f>
        <v>172.52495443612759</v>
      </c>
      <c r="L257">
        <f>MAX(Tableau1[[#This Row],[P]]-$P$4)-Tableau1[[#This Row],[C]]</f>
        <v>-12.524954436127587</v>
      </c>
      <c r="M257">
        <f xml:space="preserve"> Tableau1[[#This Row],[C]] - 0.5 * (-50) * (Tableau1[[#This Row],[P]] - $P$4)</f>
        <v>4172.5249544361277</v>
      </c>
    </row>
    <row r="258" spans="2:13" x14ac:dyDescent="0.3">
      <c r="B258">
        <v>256</v>
      </c>
      <c r="C258">
        <f t="shared" si="3"/>
        <v>1.6070006143100239</v>
      </c>
      <c r="D258">
        <f>Tableau1[[#This Row],[d1]]-$R$4*SQRT($O$4)</f>
        <v>0.70700061431002392</v>
      </c>
      <c r="E258">
        <f>NORMSDIST(Tableau1[[#This Row],[d1]])</f>
        <v>0.9459728833253096</v>
      </c>
      <c r="F258">
        <f>NORMSDIST(Tableau1[[#This Row],[d2]])</f>
        <v>0.76021695198505301</v>
      </c>
      <c r="G258">
        <f>Tableau1[[#This Row],[P]]*Tableau1[[#This Row],[N(d1)]]-$P$4*EXP(-$N$4*$O$4)*Tableau1[[#This Row],[N(d2)]]</f>
        <v>173.47068842669853</v>
      </c>
      <c r="L258">
        <f>MAX(Tableau1[[#This Row],[P]]-$P$4)-Tableau1[[#This Row],[C]]</f>
        <v>-12.47068842669853</v>
      </c>
      <c r="M258">
        <f xml:space="preserve"> Tableau1[[#This Row],[C]] - 0.5 * (-50) * (Tableau1[[#This Row],[P]] - $P$4)</f>
        <v>4198.4706884266989</v>
      </c>
    </row>
    <row r="259" spans="2:13" x14ac:dyDescent="0.3">
      <c r="B259">
        <v>257</v>
      </c>
      <c r="C259">
        <f t="shared" ref="C259:C322" si="4" xml:space="preserve"> (LN($B259/$P$4) + ($N$4 + ($R$4^2)/2) * $O$4) / ($R$4 * SQRT($O$4))</f>
        <v>1.6113324369940876</v>
      </c>
      <c r="D259">
        <f>Tableau1[[#This Row],[d1]]-$R$4*SQRT($O$4)</f>
        <v>0.71133243699408755</v>
      </c>
      <c r="E259">
        <f>NORMSDIST(Tableau1[[#This Row],[d1]])</f>
        <v>0.94644635776592922</v>
      </c>
      <c r="F259">
        <f>NORMSDIST(Tableau1[[#This Row],[d2]])</f>
        <v>0.76156087222389057</v>
      </c>
      <c r="G259">
        <f>Tableau1[[#This Row],[P]]*Tableau1[[#This Row],[N(d1)]]-$P$4*EXP(-$N$4*$O$4)*Tableau1[[#This Row],[N(d2)]]</f>
        <v>174.41689847610346</v>
      </c>
      <c r="L259">
        <f>MAX(Tableau1[[#This Row],[P]]-$P$4)-Tableau1[[#This Row],[C]]</f>
        <v>-12.416898476103455</v>
      </c>
      <c r="M259">
        <f xml:space="preserve"> Tableau1[[#This Row],[C]] - 0.5 * (-50) * (Tableau1[[#This Row],[P]] - $P$4)</f>
        <v>4224.4168984761036</v>
      </c>
    </row>
    <row r="260" spans="2:13" x14ac:dyDescent="0.3">
      <c r="B260">
        <v>258</v>
      </c>
      <c r="C260">
        <f t="shared" si="4"/>
        <v>1.6156474370234184</v>
      </c>
      <c r="D260">
        <f>Tableau1[[#This Row],[d1]]-$R$4*SQRT($O$4)</f>
        <v>0.71564743702341838</v>
      </c>
      <c r="E260">
        <f>NORMSDIST(Tableau1[[#This Row],[d1]])</f>
        <v>0.94691471926543025</v>
      </c>
      <c r="F260">
        <f>NORMSDIST(Tableau1[[#This Row],[d2]])</f>
        <v>0.76289546268242714</v>
      </c>
      <c r="G260">
        <f>Tableau1[[#This Row],[P]]*Tableau1[[#This Row],[N(d1)]]-$P$4*EXP(-$N$4*$O$4)*Tableau1[[#This Row],[N(d2)]]</f>
        <v>175.36357943792797</v>
      </c>
      <c r="L260">
        <f>MAX(Tableau1[[#This Row],[P]]-$P$4)-Tableau1[[#This Row],[C]]</f>
        <v>-12.363579437927967</v>
      </c>
      <c r="M260">
        <f xml:space="preserve"> Tableau1[[#This Row],[C]] - 0.5 * (-50) * (Tableau1[[#This Row],[P]] - $P$4)</f>
        <v>4250.3635794379279</v>
      </c>
    </row>
    <row r="261" spans="2:13" x14ac:dyDescent="0.3">
      <c r="B261">
        <v>259</v>
      </c>
      <c r="C261">
        <f t="shared" si="4"/>
        <v>1.6199457445544412</v>
      </c>
      <c r="D261">
        <f>Tableau1[[#This Row],[d1]]-$R$4*SQRT($O$4)</f>
        <v>0.71994574455444116</v>
      </c>
      <c r="E261">
        <f>NORMSDIST(Tableau1[[#This Row],[d1]])</f>
        <v>0.9473780339251876</v>
      </c>
      <c r="F261">
        <f>NORMSDIST(Tableau1[[#This Row],[d2]])</f>
        <v>0.76422079928721542</v>
      </c>
      <c r="G261">
        <f>Tableau1[[#This Row],[P]]*Tableau1[[#This Row],[N(d1)]]-$P$4*EXP(-$N$4*$O$4)*Tableau1[[#This Row],[N(d2)]]</f>
        <v>176.31072623236551</v>
      </c>
      <c r="L261">
        <f>MAX(Tableau1[[#This Row],[P]]-$P$4)-Tableau1[[#This Row],[C]]</f>
        <v>-12.310726232365511</v>
      </c>
      <c r="M261">
        <f xml:space="preserve"> Tableau1[[#This Row],[C]] - 0.5 * (-50) * (Tableau1[[#This Row],[P]] - $P$4)</f>
        <v>4276.3107262323656</v>
      </c>
    </row>
    <row r="262" spans="2:13" x14ac:dyDescent="0.3">
      <c r="B262">
        <v>260</v>
      </c>
      <c r="C262">
        <f t="shared" si="4"/>
        <v>1.6242274882388743</v>
      </c>
      <c r="D262">
        <f>Tableau1[[#This Row],[d1]]-$R$4*SQRT($O$4)</f>
        <v>0.72422748823887428</v>
      </c>
      <c r="E262">
        <f>NORMSDIST(Tableau1[[#This Row],[d1]])</f>
        <v>0.94783636684801842</v>
      </c>
      <c r="F262">
        <f>NORMSDIST(Tableau1[[#This Row],[d2]])</f>
        <v>0.76553695729177129</v>
      </c>
      <c r="G262">
        <f>Tableau1[[#This Row],[P]]*Tableau1[[#This Row],[N(d1)]]-$P$4*EXP(-$N$4*$O$4)*Tableau1[[#This Row],[N(d2)]]</f>
        <v>177.25833384521025</v>
      </c>
      <c r="L262">
        <f>MAX(Tableau1[[#This Row],[P]]-$P$4)-Tableau1[[#This Row],[C]]</f>
        <v>-12.258333845210245</v>
      </c>
      <c r="M262">
        <f xml:space="preserve"> Tableau1[[#This Row],[C]] - 0.5 * (-50) * (Tableau1[[#This Row],[P]] - $P$4)</f>
        <v>4302.2583338452105</v>
      </c>
    </row>
    <row r="263" spans="2:13" x14ac:dyDescent="0.3">
      <c r="B263">
        <v>261</v>
      </c>
      <c r="C263">
        <f t="shared" si="4"/>
        <v>1.6284927952468364</v>
      </c>
      <c r="D263">
        <f>Tableau1[[#This Row],[d1]]-$R$4*SQRT($O$4)</f>
        <v>0.72849279524683641</v>
      </c>
      <c r="E263">
        <f>NORMSDIST(Tableau1[[#This Row],[d1]])</f>
        <v>0.94828978215544324</v>
      </c>
      <c r="F263">
        <f>NORMSDIST(Tableau1[[#This Row],[d2]])</f>
        <v>0.76684401128213242</v>
      </c>
      <c r="G263">
        <f>Tableau1[[#This Row],[P]]*Tableau1[[#This Row],[N(d1)]]-$P$4*EXP(-$N$4*$O$4)*Tableau1[[#This Row],[N(d2)]]</f>
        <v>178.20639732686712</v>
      </c>
      <c r="L263">
        <f>MAX(Tableau1[[#This Row],[P]]-$P$4)-Tableau1[[#This Row],[C]]</f>
        <v>-12.206397326867119</v>
      </c>
      <c r="M263">
        <f xml:space="preserve"> Tableau1[[#This Row],[C]] - 0.5 * (-50) * (Tableau1[[#This Row],[P]] - $P$4)</f>
        <v>4328.2063973268669</v>
      </c>
    </row>
    <row r="264" spans="2:13" x14ac:dyDescent="0.3">
      <c r="B264">
        <v>262</v>
      </c>
      <c r="C264">
        <f t="shared" si="4"/>
        <v>1.6327417912895068</v>
      </c>
      <c r="D264">
        <f>Tableau1[[#This Row],[d1]]-$R$4*SQRT($O$4)</f>
        <v>0.73274179128950678</v>
      </c>
      <c r="E264">
        <f>NORMSDIST(Tableau1[[#This Row],[d1]])</f>
        <v>0.94873834300461268</v>
      </c>
      <c r="F264">
        <f>NORMSDIST(Tableau1[[#This Row],[d2]])</f>
        <v>0.76814203518240276</v>
      </c>
      <c r="G264">
        <f>Tableau1[[#This Row],[P]]*Tableau1[[#This Row],[N(d1)]]-$P$4*EXP(-$N$4*$O$4)*Tableau1[[#This Row],[N(d2)]]</f>
        <v>179.15491179137894</v>
      </c>
      <c r="L264">
        <f>MAX(Tableau1[[#This Row],[P]]-$P$4)-Tableau1[[#This Row],[C]]</f>
        <v>-12.154911791378936</v>
      </c>
      <c r="M264">
        <f xml:space="preserve"> Tableau1[[#This Row],[C]] - 0.5 * (-50) * (Tableau1[[#This Row],[P]] - $P$4)</f>
        <v>4354.1549117913792</v>
      </c>
    </row>
    <row r="265" spans="2:13" x14ac:dyDescent="0.3">
      <c r="B265">
        <v>263</v>
      </c>
      <c r="C265">
        <f t="shared" si="4"/>
        <v>1.6369746006413597</v>
      </c>
      <c r="D265">
        <f>Tableau1[[#This Row],[d1]]-$R$4*SQRT($O$4)</f>
        <v>0.73697460064135967</v>
      </c>
      <c r="E265">
        <f>NORMSDIST(Tableau1[[#This Row],[d1]])</f>
        <v>0.94918211160490562</v>
      </c>
      <c r="F265">
        <f>NORMSDIST(Tableau1[[#This Row],[d2]])</f>
        <v>0.76943110226028133</v>
      </c>
      <c r="G265">
        <f>Tableau1[[#This Row],[P]]*Tableau1[[#This Row],[N(d1)]]-$P$4*EXP(-$N$4*$O$4)*Tableau1[[#This Row],[N(d2)]]</f>
        <v>180.10387241547045</v>
      </c>
      <c r="L265">
        <f>MAX(Tableau1[[#This Row],[P]]-$P$4)-Tableau1[[#This Row],[C]]</f>
        <v>-12.103872415470448</v>
      </c>
      <c r="M265">
        <f xml:space="preserve"> Tableau1[[#This Row],[C]] - 0.5 * (-50) * (Tableau1[[#This Row],[P]] - $P$4)</f>
        <v>4380.1038724154705</v>
      </c>
    </row>
    <row r="266" spans="2:13" x14ac:dyDescent="0.3">
      <c r="B266">
        <v>264</v>
      </c>
      <c r="C266">
        <f t="shared" si="4"/>
        <v>1.6411913461619727</v>
      </c>
      <c r="D266">
        <f>Tableau1[[#This Row],[d1]]-$R$4*SQRT($O$4)</f>
        <v>0.74119134616197269</v>
      </c>
      <c r="E266">
        <f>NORMSDIST(Tableau1[[#This Row],[d1]])</f>
        <v>0.94962114923420682</v>
      </c>
      <c r="F266">
        <f>NORMSDIST(Tableau1[[#This Row],[d2]])</f>
        <v>0.77071128513257325</v>
      </c>
      <c r="G266">
        <f>Tableau1[[#This Row],[P]]*Tableau1[[#This Row],[N(d1)]]-$P$4*EXP(-$N$4*$O$4)*Tableau1[[#This Row],[N(d2)]]</f>
        <v>181.05327443760859</v>
      </c>
      <c r="L266">
        <f>MAX(Tableau1[[#This Row],[P]]-$P$4)-Tableau1[[#This Row],[C]]</f>
        <v>-12.053274437608593</v>
      </c>
      <c r="M266">
        <f xml:space="preserve"> Tableau1[[#This Row],[C]] - 0.5 * (-50) * (Tableau1[[#This Row],[P]] - $P$4)</f>
        <v>4406.0532744376087</v>
      </c>
    </row>
    <row r="267" spans="2:13" x14ac:dyDescent="0.3">
      <c r="B267">
        <v>265</v>
      </c>
      <c r="C267">
        <f t="shared" si="4"/>
        <v>1.6453921493174237</v>
      </c>
      <c r="D267">
        <f>Tableau1[[#This Row],[d1]]-$R$4*SQRT($O$4)</f>
        <v>0.7453921493174237</v>
      </c>
      <c r="E267">
        <f>NORMSDIST(Tableau1[[#This Row],[d1]])</f>
        <v>0.95005551625487028</v>
      </c>
      <c r="F267">
        <f>NORMSDIST(Tableau1[[#This Row],[d2]])</f>
        <v>0.7719826557706807</v>
      </c>
      <c r="G267">
        <f>Tableau1[[#This Row],[P]]*Tableau1[[#This Row],[N(d1)]]-$P$4*EXP(-$N$4*$O$4)*Tableau1[[#This Row],[N(d2)]]</f>
        <v>182.00311315707927</v>
      </c>
      <c r="L267">
        <f>MAX(Tableau1[[#This Row],[P]]-$P$4)-Tableau1[[#This Row],[C]]</f>
        <v>-12.00311315707927</v>
      </c>
      <c r="M267">
        <f xml:space="preserve"> Tableau1[[#This Row],[C]] - 0.5 * (-50) * (Tableau1[[#This Row],[P]] - $P$4)</f>
        <v>4432.0031131570795</v>
      </c>
    </row>
    <row r="268" spans="2:13" x14ac:dyDescent="0.3">
      <c r="B268">
        <v>266</v>
      </c>
      <c r="C268">
        <f t="shared" si="4"/>
        <v>1.6495771302012869</v>
      </c>
      <c r="D268">
        <f>Tableau1[[#This Row],[d1]]-$R$4*SQRT($O$4)</f>
        <v>0.74957713020128691</v>
      </c>
      <c r="E268">
        <f>NORMSDIST(Tableau1[[#This Row],[d1]])</f>
        <v>0.95048527212937539</v>
      </c>
      <c r="F268">
        <f>NORMSDIST(Tableau1[[#This Row],[d2]])</f>
        <v>0.7732452855060773</v>
      </c>
      <c r="G268">
        <f>Tableau1[[#This Row],[P]]*Tableau1[[#This Row],[N(d1)]]-$P$4*EXP(-$N$4*$O$4)*Tableau1[[#This Row],[N(d2)]]</f>
        <v>182.95338393307941</v>
      </c>
      <c r="L268">
        <f>MAX(Tableau1[[#This Row],[P]]-$P$4)-Tableau1[[#This Row],[C]]</f>
        <v>-11.953383933079408</v>
      </c>
      <c r="M268">
        <f xml:space="preserve"> Tableau1[[#This Row],[C]] - 0.5 * (-50) * (Tableau1[[#This Row],[P]] - $P$4)</f>
        <v>4457.9533839330797</v>
      </c>
    </row>
    <row r="269" spans="2:13" x14ac:dyDescent="0.3">
      <c r="B269">
        <v>267</v>
      </c>
      <c r="C269">
        <f t="shared" si="4"/>
        <v>1.6537464075552319</v>
      </c>
      <c r="D269">
        <f>Tableau1[[#This Row],[d1]]-$R$4*SQRT($O$4)</f>
        <v>0.75374640755523192</v>
      </c>
      <c r="E269">
        <f>NORMSDIST(Tableau1[[#This Row],[d1]])</f>
        <v>0.95091047543568186</v>
      </c>
      <c r="F269">
        <f>NORMSDIST(Tableau1[[#This Row],[d2]])</f>
        <v>0.77449924503575773</v>
      </c>
      <c r="G269">
        <f>Tableau1[[#This Row],[P]]*Tableau1[[#This Row],[N(d1)]]-$P$4*EXP(-$N$4*$O$4)*Tableau1[[#This Row],[N(d2)]]</f>
        <v>183.90408218382493</v>
      </c>
      <c r="L269">
        <f>MAX(Tableau1[[#This Row],[P]]-$P$4)-Tableau1[[#This Row],[C]]</f>
        <v>-11.904082183824926</v>
      </c>
      <c r="M269">
        <f xml:space="preserve"> Tableau1[[#This Row],[C]] - 0.5 * (-50) * (Tableau1[[#This Row],[P]] - $P$4)</f>
        <v>4483.9040821838253</v>
      </c>
    </row>
    <row r="270" spans="2:13" x14ac:dyDescent="0.3">
      <c r="B270">
        <v>268</v>
      </c>
      <c r="C270">
        <f t="shared" si="4"/>
        <v>1.6579000987892398</v>
      </c>
      <c r="D270">
        <f>Tableau1[[#This Row],[d1]]-$R$4*SQRT($O$4)</f>
        <v>0.75790009878923981</v>
      </c>
      <c r="E270">
        <f>NORMSDIST(Tableau1[[#This Row],[d1]])</f>
        <v>0.95133118388229054</v>
      </c>
      <c r="F270">
        <f>NORMSDIST(Tableau1[[#This Row],[d2]])</f>
        <v>0.77574460442766813</v>
      </c>
      <c r="G270">
        <f>Tableau1[[#This Row],[P]]*Tableau1[[#This Row],[N(d1)]]-$P$4*EXP(-$N$4*$O$4)*Tableau1[[#This Row],[N(d2)]]</f>
        <v>184.85520338567372</v>
      </c>
      <c r="L270">
        <f>MAX(Tableau1[[#This Row],[P]]-$P$4)-Tableau1[[#This Row],[C]]</f>
        <v>-11.855203385673718</v>
      </c>
      <c r="M270">
        <f xml:space="preserve"> Tableau1[[#This Row],[C]] - 0.5 * (-50) * (Tableau1[[#This Row],[P]] - $P$4)</f>
        <v>4509.855203385674</v>
      </c>
    </row>
    <row r="271" spans="2:13" x14ac:dyDescent="0.3">
      <c r="B271">
        <v>269</v>
      </c>
      <c r="C271">
        <f t="shared" si="4"/>
        <v>1.6620383200014426</v>
      </c>
      <c r="D271">
        <f>Tableau1[[#This Row],[d1]]-$R$4*SQRT($O$4)</f>
        <v>0.76203832000144256</v>
      </c>
      <c r="E271">
        <f>NORMSDIST(Tableau1[[#This Row],[d1]])</f>
        <v>0.95174745432301577</v>
      </c>
      <c r="F271">
        <f>NORMSDIST(Tableau1[[#This Row],[d2]])</f>
        <v>0.77698143312611179</v>
      </c>
      <c r="G271">
        <f>Tableau1[[#This Row],[P]]*Tableau1[[#This Row],[N(d1)]]-$P$4*EXP(-$N$4*$O$4)*Tableau1[[#This Row],[N(d2)]]</f>
        <v>185.8067430722636</v>
      </c>
      <c r="L271">
        <f>MAX(Tableau1[[#This Row],[P]]-$P$4)-Tableau1[[#This Row],[C]]</f>
        <v>-11.8067430722636</v>
      </c>
      <c r="M271">
        <f xml:space="preserve"> Tableau1[[#This Row],[C]] - 0.5 * (-50) * (Tableau1[[#This Row],[P]] - $P$4)</f>
        <v>4535.806743072264</v>
      </c>
    </row>
    <row r="272" spans="2:13" x14ac:dyDescent="0.3">
      <c r="B272">
        <v>270</v>
      </c>
      <c r="C272">
        <f t="shared" si="4"/>
        <v>1.6661611859975931</v>
      </c>
      <c r="D272">
        <f>Tableau1[[#This Row],[d1]]-$R$4*SQRT($O$4)</f>
        <v>0.76616118599759309</v>
      </c>
      <c r="E272">
        <f>NORMSDIST(Tableau1[[#This Row],[d1]])</f>
        <v>0.95215934277147574</v>
      </c>
      <c r="F272">
        <f>NORMSDIST(Tableau1[[#This Row],[d2]])</f>
        <v>0.77820979995713158</v>
      </c>
      <c r="G272">
        <f>Tableau1[[#This Row],[P]]*Tableau1[[#This Row],[N(d1)]]-$P$4*EXP(-$N$4*$O$4)*Tableau1[[#This Row],[N(d2)]]</f>
        <v>186.75869683366483</v>
      </c>
      <c r="L272">
        <f>MAX(Tableau1[[#This Row],[P]]-$P$4)-Tableau1[[#This Row],[C]]</f>
        <v>-11.758696833664828</v>
      </c>
      <c r="M272">
        <f xml:space="preserve"> Tableau1[[#This Row],[C]] - 0.5 * (-50) * (Tableau1[[#This Row],[P]] - $P$4)</f>
        <v>4561.7586968336645</v>
      </c>
    </row>
    <row r="273" spans="2:13" x14ac:dyDescent="0.3">
      <c r="B273">
        <v>271</v>
      </c>
      <c r="C273">
        <f t="shared" si="4"/>
        <v>1.6702688103101779</v>
      </c>
      <c r="D273">
        <f>Tableau1[[#This Row],[d1]]-$R$4*SQRT($O$4)</f>
        <v>0.77026881031017791</v>
      </c>
      <c r="E273">
        <f>NORMSDIST(Tableau1[[#This Row],[d1]])</f>
        <v>0.95256690441530667</v>
      </c>
      <c r="F273">
        <f>NORMSDIST(Tableau1[[#This Row],[d2]])</f>
        <v>0.77942977313386708</v>
      </c>
      <c r="G273">
        <f>Tableau1[[#This Row],[P]]*Tableau1[[#This Row],[N(d1)]]-$P$4*EXP(-$N$4*$O$4)*Tableau1[[#This Row],[N(d2)]]</f>
        <v>187.71106031554734</v>
      </c>
      <c r="L273">
        <f>MAX(Tableau1[[#This Row],[P]]-$P$4)-Tableau1[[#This Row],[C]]</f>
        <v>-11.711060315547343</v>
      </c>
      <c r="M273">
        <f xml:space="preserve"> Tableau1[[#This Row],[C]] - 0.5 * (-50) * (Tableau1[[#This Row],[P]] - $P$4)</f>
        <v>4587.711060315547</v>
      </c>
    </row>
    <row r="274" spans="2:13" x14ac:dyDescent="0.3">
      <c r="B274">
        <v>272</v>
      </c>
      <c r="C274">
        <f t="shared" si="4"/>
        <v>1.674361305217174</v>
      </c>
      <c r="D274">
        <f>Tableau1[[#This Row],[d1]]-$R$4*SQRT($O$4)</f>
        <v>0.77436130521717395</v>
      </c>
      <c r="E274">
        <f>NORMSDIST(Tableau1[[#This Row],[d1]])</f>
        <v>0.95297019363010671</v>
      </c>
      <c r="F274">
        <f>NORMSDIST(Tableau1[[#This Row],[d2]])</f>
        <v>0.78064142026188588</v>
      </c>
      <c r="G274">
        <f>Tableau1[[#This Row],[P]]*Tableau1[[#This Row],[N(d1)]]-$P$4*EXP(-$N$4*$O$4)*Tableau1[[#This Row],[N(d2)]]</f>
        <v>188.66382921836134</v>
      </c>
      <c r="L274">
        <f>MAX(Tableau1[[#This Row],[P]]-$P$4)-Tableau1[[#This Row],[C]]</f>
        <v>-11.663829218361343</v>
      </c>
      <c r="M274">
        <f xml:space="preserve"> Tableau1[[#This Row],[C]] - 0.5 * (-50) * (Tableau1[[#This Row],[P]] - $P$4)</f>
        <v>4613.6638292183616</v>
      </c>
    </row>
    <row r="275" spans="2:13" x14ac:dyDescent="0.3">
      <c r="B275">
        <v>273</v>
      </c>
      <c r="C275">
        <f t="shared" si="4"/>
        <v>1.6784387817604656</v>
      </c>
      <c r="D275">
        <f>Tableau1[[#This Row],[d1]]-$R$4*SQRT($O$4)</f>
        <v>0.77843878176046555</v>
      </c>
      <c r="E275">
        <f>NORMSDIST(Tableau1[[#This Row],[d1]])</f>
        <v>0.95336926399311439</v>
      </c>
      <c r="F275">
        <f>NORMSDIST(Tableau1[[#This Row],[d2]])</f>
        <v>0.78184480834448866</v>
      </c>
      <c r="G275">
        <f>Tableau1[[#This Row],[P]]*Tableau1[[#This Row],[N(d1)]]-$P$4*EXP(-$N$4*$O$4)*Tableau1[[#This Row],[N(d2)]]</f>
        <v>189.61699929653233</v>
      </c>
      <c r="L275">
        <f>MAX(Tableau1[[#This Row],[P]]-$P$4)-Tableau1[[#This Row],[C]]</f>
        <v>-11.616999296532327</v>
      </c>
      <c r="M275">
        <f xml:space="preserve"> Tableau1[[#This Row],[C]] - 0.5 * (-50) * (Tableau1[[#This Row],[P]] - $P$4)</f>
        <v>4639.6169992965324</v>
      </c>
    </row>
    <row r="276" spans="2:13" x14ac:dyDescent="0.3">
      <c r="B276">
        <v>274</v>
      </c>
      <c r="C276">
        <f t="shared" si="4"/>
        <v>1.6825013497639216</v>
      </c>
      <c r="D276">
        <f>Tableau1[[#This Row],[d1]]-$R$4*SQRT($O$4)</f>
        <v>0.78250134976392161</v>
      </c>
      <c r="E276">
        <f>NORMSDIST(Tableau1[[#This Row],[d1]])</f>
        <v>0.95376416829662958</v>
      </c>
      <c r="F276">
        <f>NORMSDIST(Tableau1[[#This Row],[d2]])</f>
        <v>0.78304000378798633</v>
      </c>
      <c r="G276">
        <f>Tableau1[[#This Row],[P]]*Tableau1[[#This Row],[N(d1)]]-$P$4*EXP(-$N$4*$O$4)*Tableau1[[#This Row],[N(d2)]]</f>
        <v>190.57056635766961</v>
      </c>
      <c r="L276">
        <f>MAX(Tableau1[[#This Row],[P]]-$P$4)-Tableau1[[#This Row],[C]]</f>
        <v>-11.570566357669605</v>
      </c>
      <c r="M276">
        <f xml:space="preserve"> Tableau1[[#This Row],[C]] - 0.5 * (-50) * (Tableau1[[#This Row],[P]] - $P$4)</f>
        <v>4665.57056635767</v>
      </c>
    </row>
    <row r="277" spans="2:13" x14ac:dyDescent="0.3">
      <c r="B277">
        <v>275</v>
      </c>
      <c r="C277">
        <f t="shared" si="4"/>
        <v>1.6865491178511449</v>
      </c>
      <c r="D277">
        <f>Tableau1[[#This Row],[d1]]-$R$4*SQRT($O$4)</f>
        <v>0.7865491178511449</v>
      </c>
      <c r="E277">
        <f>NORMSDIST(Tableau1[[#This Row],[d1]])</f>
        <v>0.95415495856117905</v>
      </c>
      <c r="F277">
        <f>NORMSDIST(Tableau1[[#This Row],[d2]])</f>
        <v>0.78422707240694955</v>
      </c>
      <c r="G277">
        <f>Tableau1[[#This Row],[P]]*Tableau1[[#This Row],[N(d1)]]-$P$4*EXP(-$N$4*$O$4)*Tableau1[[#This Row],[N(d2)]]</f>
        <v>191.52452626178774</v>
      </c>
      <c r="L277">
        <f>MAX(Tableau1[[#This Row],[P]]-$P$4)-Tableau1[[#This Row],[C]]</f>
        <v>-11.524526261787742</v>
      </c>
      <c r="M277">
        <f xml:space="preserve"> Tableau1[[#This Row],[C]] - 0.5 * (-50) * (Tableau1[[#This Row],[P]] - $P$4)</f>
        <v>4691.5245262617882</v>
      </c>
    </row>
    <row r="278" spans="2:13" x14ac:dyDescent="0.3">
      <c r="B278">
        <v>276</v>
      </c>
      <c r="C278">
        <f t="shared" si="4"/>
        <v>1.6905821934628993</v>
      </c>
      <c r="D278">
        <f>Tableau1[[#This Row],[d1]]-$R$4*SQRT($O$4)</f>
        <v>0.79058219346289926</v>
      </c>
      <c r="E278">
        <f>NORMSDIST(Tableau1[[#This Row],[d1]])</f>
        <v>0.95454168604843437</v>
      </c>
      <c r="F278">
        <f>NORMSDIST(Tableau1[[#This Row],[d2]])</f>
        <v>0.7854060794294293</v>
      </c>
      <c r="G278">
        <f>Tableau1[[#This Row],[P]]*Tableau1[[#This Row],[N(d1)]]-$P$4*EXP(-$N$4*$O$4)*Tableau1[[#This Row],[N(d2)]]</f>
        <v>192.47887492054119</v>
      </c>
      <c r="L278">
        <f>MAX(Tableau1[[#This Row],[P]]-$P$4)-Tableau1[[#This Row],[C]]</f>
        <v>-11.478874920541188</v>
      </c>
      <c r="M278">
        <f xml:space="preserve"> Tableau1[[#This Row],[C]] - 0.5 * (-50) * (Tableau1[[#This Row],[P]] - $P$4)</f>
        <v>4717.4788749205409</v>
      </c>
    </row>
    <row r="279" spans="2:13" x14ac:dyDescent="0.3">
      <c r="B279">
        <v>277</v>
      </c>
      <c r="C279">
        <f t="shared" si="4"/>
        <v>1.6946006828742197</v>
      </c>
      <c r="D279">
        <f>Tableau1[[#This Row],[d1]]-$R$4*SQRT($O$4)</f>
        <v>0.7946006828742197</v>
      </c>
      <c r="E279">
        <f>NORMSDIST(Tableau1[[#This Row],[d1]])</f>
        <v>0.954924401273887</v>
      </c>
      <c r="F279">
        <f>NORMSDIST(Tableau1[[#This Row],[d2]])</f>
        <v>0.78657708950214755</v>
      </c>
      <c r="G279">
        <f>Tableau1[[#This Row],[P]]*Tableau1[[#This Row],[N(d1)]]-$P$4*EXP(-$N$4*$O$4)*Tableau1[[#This Row],[N(d2)]]</f>
        <v>193.43360829647213</v>
      </c>
      <c r="L279">
        <f>MAX(Tableau1[[#This Row],[P]]-$P$4)-Tableau1[[#This Row],[C]]</f>
        <v>-11.43360829647213</v>
      </c>
      <c r="M279">
        <f xml:space="preserve"> Tableau1[[#This Row],[C]] - 0.5 * (-50) * (Tableau1[[#This Row],[P]] - $P$4)</f>
        <v>4743.4336082964719</v>
      </c>
    </row>
    <row r="280" spans="2:13" x14ac:dyDescent="0.3">
      <c r="B280">
        <v>278</v>
      </c>
      <c r="C280">
        <f t="shared" si="4"/>
        <v>1.6986046912112183</v>
      </c>
      <c r="D280">
        <f>Tableau1[[#This Row],[d1]]-$R$4*SQRT($O$4)</f>
        <v>0.79860469121121824</v>
      </c>
      <c r="E280">
        <f>NORMSDIST(Tableau1[[#This Row],[d1]])</f>
        <v>0.95530315401928467</v>
      </c>
      <c r="F280">
        <f>NORMSDIST(Tableau1[[#This Row],[d2]])</f>
        <v>0.78774016669566005</v>
      </c>
      <c r="G280">
        <f>Tableau1[[#This Row],[P]]*Tableau1[[#This Row],[N(d1)]]-$P$4*EXP(-$N$4*$O$4)*Tableau1[[#This Row],[N(d2)]]</f>
        <v>194.38872240227025</v>
      </c>
      <c r="L280">
        <f>MAX(Tableau1[[#This Row],[P]]-$P$4)-Tableau1[[#This Row],[C]]</f>
        <v>-11.388722402270247</v>
      </c>
      <c r="M280">
        <f xml:space="preserve"> Tableau1[[#This Row],[C]] - 0.5 * (-50) * (Tableau1[[#This Row],[P]] - $P$4)</f>
        <v>4769.3887224022701</v>
      </c>
    </row>
    <row r="281" spans="2:13" x14ac:dyDescent="0.3">
      <c r="B281">
        <v>279</v>
      </c>
      <c r="C281">
        <f t="shared" si="4"/>
        <v>1.702594322467583</v>
      </c>
      <c r="D281">
        <f>Tableau1[[#This Row],[d1]]-$R$4*SQRT($O$4)</f>
        <v>0.802594322467583</v>
      </c>
      <c r="E281">
        <f>NORMSDIST(Tableau1[[#This Row],[d1]])</f>
        <v>0.95567799334483461</v>
      </c>
      <c r="F281">
        <f>NORMSDIST(Tableau1[[#This Row],[d2]])</f>
        <v>0.78889537450948466</v>
      </c>
      <c r="G281">
        <f>Tableau1[[#This Row],[P]]*Tableau1[[#This Row],[N(d1)]]-$P$4*EXP(-$N$4*$O$4)*Tableau1[[#This Row],[N(d2)]]</f>
        <v>195.34421330004528</v>
      </c>
      <c r="L281">
        <f>MAX(Tableau1[[#This Row],[P]]-$P$4)-Tableau1[[#This Row],[C]]</f>
        <v>-11.344213300045283</v>
      </c>
      <c r="M281">
        <f xml:space="preserve"> Tableau1[[#This Row],[C]] - 0.5 * (-50) * (Tableau1[[#This Row],[P]] - $P$4)</f>
        <v>4795.3442133000453</v>
      </c>
    </row>
    <row r="282" spans="2:13" x14ac:dyDescent="0.3">
      <c r="B282">
        <v>280</v>
      </c>
      <c r="C282">
        <f t="shared" si="4"/>
        <v>1.7065696795207874</v>
      </c>
      <c r="D282">
        <f>Tableau1[[#This Row],[d1]]-$R$4*SQRT($O$4)</f>
        <v>0.8065696795207874</v>
      </c>
      <c r="E282">
        <f>NORMSDIST(Tableau1[[#This Row],[d1]])</f>
        <v>0.95604896760117875</v>
      </c>
      <c r="F282">
        <f>NORMSDIST(Tableau1[[#This Row],[d2]])</f>
        <v>0.79004277587720328</v>
      </c>
      <c r="G282">
        <f>Tableau1[[#This Row],[P]]*Tableau1[[#This Row],[N(d1)]]-$P$4*EXP(-$N$4*$O$4)*Tableau1[[#This Row],[N(d2)]]</f>
        <v>196.3000771006113</v>
      </c>
      <c r="L282">
        <f>MAX(Tableau1[[#This Row],[P]]-$P$4)-Tableau1[[#This Row],[C]]</f>
        <v>-11.300077100611304</v>
      </c>
      <c r="M282">
        <f xml:space="preserve"> Tableau1[[#This Row],[C]] - 0.5 * (-50) * (Tableau1[[#This Row],[P]] - $P$4)</f>
        <v>4821.3000771006109</v>
      </c>
    </row>
    <row r="283" spans="2:13" x14ac:dyDescent="0.3">
      <c r="B283">
        <v>281</v>
      </c>
      <c r="C283">
        <f t="shared" si="4"/>
        <v>1.7105308641480055</v>
      </c>
      <c r="D283">
        <f>Tableau1[[#This Row],[d1]]-$R$4*SQRT($O$4)</f>
        <v>0.81053086414800546</v>
      </c>
      <c r="E283">
        <f>NORMSDIST(Tableau1[[#This Row],[d1]])</f>
        <v>0.9564161244411451</v>
      </c>
      <c r="F283">
        <f>NORMSDIST(Tableau1[[#This Row],[d2]])</f>
        <v>0.79118243317152848</v>
      </c>
      <c r="G283">
        <f>Tableau1[[#This Row],[P]]*Tableau1[[#This Row],[N(d1)]]-$P$4*EXP(-$N$4*$O$4)*Tableau1[[#This Row],[N(d2)]]</f>
        <v>197.25630996278318</v>
      </c>
      <c r="L283">
        <f>MAX(Tableau1[[#This Row],[P]]-$P$4)-Tableau1[[#This Row],[C]]</f>
        <v>-11.256309962783178</v>
      </c>
      <c r="M283">
        <f xml:space="preserve"> Tableau1[[#This Row],[C]] - 0.5 * (-50) * (Tableau1[[#This Row],[P]] - $P$4)</f>
        <v>4847.2563099627832</v>
      </c>
    </row>
    <row r="284" spans="2:13" x14ac:dyDescent="0.3">
      <c r="B284">
        <v>282</v>
      </c>
      <c r="C284">
        <f t="shared" si="4"/>
        <v>1.7144779770417473</v>
      </c>
      <c r="D284">
        <f>Tableau1[[#This Row],[d1]]-$R$4*SQRT($O$4)</f>
        <v>0.81447797704174729</v>
      </c>
      <c r="E284">
        <f>NORMSDIST(Tableau1[[#This Row],[d1]])</f>
        <v>0.95677951083127999</v>
      </c>
      <c r="F284">
        <f>NORMSDIST(Tableau1[[#This Row],[d2]])</f>
        <v>0.7923144082093404</v>
      </c>
      <c r="G284">
        <f>Tableau1[[#This Row],[P]]*Tableau1[[#This Row],[N(d1)]]-$P$4*EXP(-$N$4*$O$4)*Tableau1[[#This Row],[N(d2)]]</f>
        <v>198.21290809268444</v>
      </c>
      <c r="L284">
        <f>MAX(Tableau1[[#This Row],[P]]-$P$4)-Tableau1[[#This Row],[C]]</f>
        <v>-11.212908092684444</v>
      </c>
      <c r="M284">
        <f xml:space="preserve"> Tableau1[[#This Row],[C]] - 0.5 * (-50) * (Tableau1[[#This Row],[P]] - $P$4)</f>
        <v>4873.2129080926843</v>
      </c>
    </row>
    <row r="285" spans="2:13" x14ac:dyDescent="0.3">
      <c r="B285">
        <v>283</v>
      </c>
      <c r="C285">
        <f t="shared" si="4"/>
        <v>1.7184111178252186</v>
      </c>
      <c r="D285">
        <f>Tableau1[[#This Row],[d1]]-$R$4*SQRT($O$4)</f>
        <v>0.81841111782521858</v>
      </c>
      <c r="E285">
        <f>NORMSDIST(Tableau1[[#This Row],[d1]])</f>
        <v>0.95713917306316643</v>
      </c>
      <c r="F285">
        <f>NORMSDIST(Tableau1[[#This Row],[d2]])</f>
        <v>0.79343876225669052</v>
      </c>
      <c r="G285">
        <f>Tableau1[[#This Row],[P]]*Tableau1[[#This Row],[N(d1)]]-$P$4*EXP(-$N$4*$O$4)*Tableau1[[#This Row],[N(d2)]]</f>
        <v>199.16986774306699</v>
      </c>
      <c r="L285">
        <f>MAX(Tableau1[[#This Row],[P]]-$P$4)-Tableau1[[#This Row],[C]]</f>
        <v>-11.169867743066987</v>
      </c>
      <c r="M285">
        <f xml:space="preserve"> Tableau1[[#This Row],[C]] - 0.5 * (-50) * (Tableau1[[#This Row],[P]] - $P$4)</f>
        <v>4899.1698677430668</v>
      </c>
    </row>
    <row r="286" spans="2:13" x14ac:dyDescent="0.3">
      <c r="B286">
        <v>284</v>
      </c>
      <c r="C286">
        <f t="shared" si="4"/>
        <v>1.7223303850674059</v>
      </c>
      <c r="D286">
        <f>Tableau1[[#This Row],[d1]]-$R$4*SQRT($O$4)</f>
        <v>0.82233038506740586</v>
      </c>
      <c r="E286">
        <f>NORMSDIST(Tableau1[[#This Row],[d1]])</f>
        <v>0.95749515676453145</v>
      </c>
      <c r="F286">
        <f>NORMSDIST(Tableau1[[#This Row],[d2]])</f>
        <v>0.79455555603377193</v>
      </c>
      <c r="G286">
        <f>Tableau1[[#This Row],[P]]*Tableau1[[#This Row],[N(d1)]]-$P$4*EXP(-$N$4*$O$4)*Tableau1[[#This Row],[N(d2)]]</f>
        <v>200.12718521264122</v>
      </c>
      <c r="L286">
        <f>MAX(Tableau1[[#This Row],[P]]-$P$4)-Tableau1[[#This Row],[C]]</f>
        <v>-11.127185212641223</v>
      </c>
      <c r="M286">
        <f xml:space="preserve"> Tableau1[[#This Row],[C]] - 0.5 * (-50) * (Tableau1[[#This Row],[P]] - $P$4)</f>
        <v>4925.1271852126411</v>
      </c>
    </row>
    <row r="287" spans="2:13" x14ac:dyDescent="0.3">
      <c r="B287">
        <v>285</v>
      </c>
      <c r="C287">
        <f t="shared" si="4"/>
        <v>1.7262358762978998</v>
      </c>
      <c r="D287">
        <f>Tableau1[[#This Row],[d1]]-$R$4*SQRT($O$4)</f>
        <v>0.82623587629789974</v>
      </c>
      <c r="E287">
        <f>NORMSDIST(Tableau1[[#This Row],[d1]])</f>
        <v>0.95784750691014886</v>
      </c>
      <c r="F287">
        <f>NORMSDIST(Tableau1[[#This Row],[d2]])</f>
        <v>0.79566484971985851</v>
      </c>
      <c r="G287">
        <f>Tableau1[[#This Row],[P]]*Tableau1[[#This Row],[N(d1)]]-$P$4*EXP(-$N$4*$O$4)*Tableau1[[#This Row],[N(d2)]]</f>
        <v>201.08485684541796</v>
      </c>
      <c r="L287">
        <f>MAX(Tableau1[[#This Row],[P]]-$P$4)-Tableau1[[#This Row],[C]]</f>
        <v>-11.08485684541796</v>
      </c>
      <c r="M287">
        <f xml:space="preserve"> Tableau1[[#This Row],[C]] - 0.5 * (-50) * (Tableau1[[#This Row],[P]] - $P$4)</f>
        <v>4951.0848568454176</v>
      </c>
    </row>
    <row r="288" spans="2:13" x14ac:dyDescent="0.3">
      <c r="B288">
        <v>286</v>
      </c>
      <c r="C288">
        <f t="shared" si="4"/>
        <v>1.7301276880214576</v>
      </c>
      <c r="D288">
        <f>Tableau1[[#This Row],[d1]]-$R$4*SQRT($O$4)</f>
        <v>0.83012768802145753</v>
      </c>
      <c r="E288">
        <f>NORMSDIST(Tableau1[[#This Row],[d1]])</f>
        <v>0.95819626783253931</v>
      </c>
      <c r="F288">
        <f>NORMSDIST(Tableau1[[#This Row],[d2]])</f>
        <v>0.79676670295820839</v>
      </c>
      <c r="G288">
        <f>Tableau1[[#This Row],[P]]*Tableau1[[#This Row],[N(d1)]]-$P$4*EXP(-$N$4*$O$4)*Tableau1[[#This Row],[N(d2)]]</f>
        <v>202.04287903006082</v>
      </c>
      <c r="L288">
        <f>MAX(Tableau1[[#This Row],[P]]-$P$4)-Tableau1[[#This Row],[C]]</f>
        <v>-11.042879030060817</v>
      </c>
      <c r="M288">
        <f xml:space="preserve"> Tableau1[[#This Row],[C]] - 0.5 * (-50) * (Tableau1[[#This Row],[P]] - $P$4)</f>
        <v>4977.0428790300612</v>
      </c>
    </row>
    <row r="289" spans="2:13" x14ac:dyDescent="0.3">
      <c r="B289">
        <v>287</v>
      </c>
      <c r="C289">
        <f t="shared" si="4"/>
        <v>1.7340059157323113</v>
      </c>
      <c r="D289">
        <f>Tableau1[[#This Row],[d1]]-$R$4*SQRT($O$4)</f>
        <v>0.83400591573231131</v>
      </c>
      <c r="E289">
        <f>NORMSDIST(Tableau1[[#This Row],[d1]])</f>
        <v>0.95854148323247412</v>
      </c>
      <c r="F289">
        <f>NORMSDIST(Tableau1[[#This Row],[d2]])</f>
        <v>0.79786117486093533</v>
      </c>
      <c r="G289">
        <f>Tableau1[[#This Row],[P]]*Tableau1[[#This Row],[N(d1)]]-$P$4*EXP(-$N$4*$O$4)*Tableau1[[#This Row],[N(d2)]]</f>
        <v>203.00124819924909</v>
      </c>
      <c r="L289">
        <f>MAX(Tableau1[[#This Row],[P]]-$P$4)-Tableau1[[#This Row],[C]]</f>
        <v>-11.00124819924909</v>
      </c>
      <c r="M289">
        <f xml:space="preserve"> Tableau1[[#This Row],[C]] - 0.5 * (-50) * (Tableau1[[#This Row],[P]] - $P$4)</f>
        <v>5003.0012481992489</v>
      </c>
    </row>
    <row r="290" spans="2:13" x14ac:dyDescent="0.3">
      <c r="B290">
        <v>288</v>
      </c>
      <c r="C290">
        <f t="shared" si="4"/>
        <v>1.737870653928228</v>
      </c>
      <c r="D290">
        <f>Tableau1[[#This Row],[d1]]-$R$4*SQRT($O$4)</f>
        <v>0.83787065392822802</v>
      </c>
      <c r="E290">
        <f>NORMSDIST(Tableau1[[#This Row],[d1]])</f>
        <v>0.95888319618928475</v>
      </c>
      <c r="F290">
        <f>NORMSDIST(Tableau1[[#This Row],[d2]])</f>
        <v>0.7989483240138453</v>
      </c>
      <c r="G290">
        <f>Tableau1[[#This Row],[P]]*Tableau1[[#This Row],[N(d1)]]-$P$4*EXP(-$N$4*$O$4)*Tableau1[[#This Row],[N(d2)]]</f>
        <v>203.95996082905151</v>
      </c>
      <c r="L290">
        <f>MAX(Tableau1[[#This Row],[P]]-$P$4)-Tableau1[[#This Row],[C]]</f>
        <v>-10.959960829051511</v>
      </c>
      <c r="M290">
        <f xml:space="preserve"> Tableau1[[#This Row],[C]] - 0.5 * (-50) * (Tableau1[[#This Row],[P]] - $P$4)</f>
        <v>5028.9599608290519</v>
      </c>
    </row>
    <row r="291" spans="2:13" x14ac:dyDescent="0.3">
      <c r="B291">
        <v>289</v>
      </c>
      <c r="C291">
        <f t="shared" si="4"/>
        <v>1.7417219961243238</v>
      </c>
      <c r="D291">
        <f>Tableau1[[#This Row],[d1]]-$R$4*SQRT($O$4)</f>
        <v>0.84172199612432375</v>
      </c>
      <c r="E291">
        <f>NORMSDIST(Tableau1[[#This Row],[d1]])</f>
        <v>0.95922144917098329</v>
      </c>
      <c r="F291">
        <f>NORMSDIST(Tableau1[[#This Row],[d2]])</f>
        <v>0.80002820848123846</v>
      </c>
      <c r="G291">
        <f>Tableau1[[#This Row],[P]]*Tableau1[[#This Row],[N(d1)]]-$P$4*EXP(-$N$4*$O$4)*Tableau1[[#This Row],[N(d2)]]</f>
        <v>204.91901343830932</v>
      </c>
      <c r="L291">
        <f>MAX(Tableau1[[#This Row],[P]]-$P$4)-Tableau1[[#This Row],[C]]</f>
        <v>-10.919013438309321</v>
      </c>
      <c r="M291">
        <f xml:space="preserve"> Tableau1[[#This Row],[C]] - 0.5 * (-50) * (Tableau1[[#This Row],[P]] - $P$4)</f>
        <v>5054.9190134383098</v>
      </c>
    </row>
    <row r="292" spans="2:13" x14ac:dyDescent="0.3">
      <c r="B292">
        <v>290</v>
      </c>
      <c r="C292">
        <f t="shared" si="4"/>
        <v>1.7455600348666431</v>
      </c>
      <c r="D292">
        <f>Tableau1[[#This Row],[d1]]-$R$4*SQRT($O$4)</f>
        <v>0.84556003486664311</v>
      </c>
      <c r="E292">
        <f>NORMSDIST(Tableau1[[#This Row],[d1]])</f>
        <v>0.95955628404419802</v>
      </c>
      <c r="F292">
        <f>NORMSDIST(Tableau1[[#This Row],[d2]])</f>
        <v>0.80110088581067851</v>
      </c>
      <c r="G292">
        <f>Tableau1[[#This Row],[P]]*Tableau1[[#This Row],[N(d1)]]-$P$4*EXP(-$N$4*$O$4)*Tableau1[[#This Row],[N(d2)]]</f>
        <v>205.87840258803058</v>
      </c>
      <c r="L292">
        <f>MAX(Tableau1[[#This Row],[P]]-$P$4)-Tableau1[[#This Row],[C]]</f>
        <v>-10.878402588030582</v>
      </c>
      <c r="M292">
        <f xml:space="preserve"> Tableau1[[#This Row],[C]] - 0.5 * (-50) * (Tableau1[[#This Row],[P]] - $P$4)</f>
        <v>5080.8784025880304</v>
      </c>
    </row>
    <row r="293" spans="2:13" x14ac:dyDescent="0.3">
      <c r="B293">
        <v>291</v>
      </c>
      <c r="C293">
        <f t="shared" si="4"/>
        <v>1.7493848617455021</v>
      </c>
      <c r="D293">
        <f>Tableau1[[#This Row],[d1]]-$R$4*SQRT($O$4)</f>
        <v>0.8493848617455021</v>
      </c>
      <c r="E293">
        <f>NORMSDIST(Tableau1[[#This Row],[d1]])</f>
        <v>0.95988774208392558</v>
      </c>
      <c r="F293">
        <f>NORMSDIST(Tableau1[[#This Row],[d2]])</f>
        <v>0.80216641303772485</v>
      </c>
      <c r="G293">
        <f>Tableau1[[#This Row],[P]]*Tableau1[[#This Row],[N(d1)]]-$P$4*EXP(-$N$4*$O$4)*Tableau1[[#This Row],[N(d2)]]</f>
        <v>206.83812488079303</v>
      </c>
      <c r="L293">
        <f>MAX(Tableau1[[#This Row],[P]]-$P$4)-Tableau1[[#This Row],[C]]</f>
        <v>-10.838124880793032</v>
      </c>
      <c r="M293">
        <f xml:space="preserve"> Tableau1[[#This Row],[C]] - 0.5 * (-50) * (Tableau1[[#This Row],[P]] - $P$4)</f>
        <v>5106.8381248807927</v>
      </c>
    </row>
    <row r="294" spans="2:13" x14ac:dyDescent="0.3">
      <c r="B294">
        <v>292</v>
      </c>
      <c r="C294">
        <f t="shared" si="4"/>
        <v>1.753196567408601</v>
      </c>
      <c r="D294">
        <f>Tableau1[[#This Row],[d1]]-$R$4*SQRT($O$4)</f>
        <v>0.85319656740860095</v>
      </c>
      <c r="E294">
        <f>NORMSDIST(Tableau1[[#This Row],[d1]])</f>
        <v>0.96021586398310699</v>
      </c>
      <c r="F294">
        <f>NORMSDIST(Tableau1[[#This Row],[d2]])</f>
        <v>0.80322484669063143</v>
      </c>
      <c r="G294">
        <f>Tableau1[[#This Row],[P]]*Tableau1[[#This Row],[N(d1)]]-$P$4*EXP(-$N$4*$O$4)*Tableau1[[#This Row],[N(d2)]]</f>
        <v>207.79817696015789</v>
      </c>
      <c r="L294">
        <f>MAX(Tableau1[[#This Row],[P]]-$P$4)-Tableau1[[#This Row],[C]]</f>
        <v>-10.798176960157889</v>
      </c>
      <c r="M294">
        <f xml:space="preserve"> Tableau1[[#This Row],[C]] - 0.5 * (-50) * (Tableau1[[#This Row],[P]] - $P$4)</f>
        <v>5132.7981769601574</v>
      </c>
    </row>
    <row r="295" spans="2:13" x14ac:dyDescent="0.3">
      <c r="B295">
        <v>293</v>
      </c>
      <c r="C295">
        <f t="shared" si="4"/>
        <v>1.7569952415739183</v>
      </c>
      <c r="D295">
        <f>Tableau1[[#This Row],[d1]]-$R$4*SQRT($O$4)</f>
        <v>0.85699524157391826</v>
      </c>
      <c r="E295">
        <f>NORMSDIST(Tableau1[[#This Row],[d1]])</f>
        <v>0.96054068986202767</v>
      </c>
      <c r="F295">
        <f>NORMSDIST(Tableau1[[#This Row],[d2]])</f>
        <v>0.80427624279501109</v>
      </c>
      <c r="G295">
        <f>Tableau1[[#This Row],[P]]*Tableau1[[#This Row],[N(d1)]]-$P$4*EXP(-$N$4*$O$4)*Tableau1[[#This Row],[N(d2)]]</f>
        <v>208.75855551009209</v>
      </c>
      <c r="L295">
        <f>MAX(Tableau1[[#This Row],[P]]-$P$4)-Tableau1[[#This Row],[C]]</f>
        <v>-10.758555510092094</v>
      </c>
      <c r="M295">
        <f xml:space="preserve"> Tableau1[[#This Row],[C]] - 0.5 * (-50) * (Tableau1[[#This Row],[P]] - $P$4)</f>
        <v>5158.7585555100923</v>
      </c>
    </row>
    <row r="296" spans="2:13" x14ac:dyDescent="0.3">
      <c r="B296">
        <v>294</v>
      </c>
      <c r="C296">
        <f t="shared" si="4"/>
        <v>1.7607809730423785</v>
      </c>
      <c r="D296">
        <f>Tableau1[[#This Row],[d1]]-$R$4*SQRT($O$4)</f>
        <v>0.86078097304237844</v>
      </c>
      <c r="E296">
        <f>NORMSDIST(Tableau1[[#This Row],[d1]])</f>
        <v>0.96086225927754709</v>
      </c>
      <c r="F296">
        <f>NORMSDIST(Tableau1[[#This Row],[d2]])</f>
        <v>0.80532065687846288</v>
      </c>
      <c r="G296">
        <f>Tableau1[[#This Row],[P]]*Tableau1[[#This Row],[N(d1)]]-$P$4*EXP(-$N$4*$O$4)*Tableau1[[#This Row],[N(d2)]]</f>
        <v>209.71925725440033</v>
      </c>
      <c r="L296">
        <f>MAX(Tableau1[[#This Row],[P]]-$P$4)-Tableau1[[#This Row],[C]]</f>
        <v>-10.719257254400333</v>
      </c>
      <c r="M296">
        <f xml:space="preserve"> Tableau1[[#This Row],[C]] - 0.5 * (-50) * (Tableau1[[#This Row],[P]] - $P$4)</f>
        <v>5184.7192572544</v>
      </c>
    </row>
    <row r="297" spans="2:13" x14ac:dyDescent="0.3">
      <c r="B297">
        <v>295</v>
      </c>
      <c r="C297">
        <f t="shared" si="4"/>
        <v>1.7645538497103099</v>
      </c>
      <c r="D297">
        <f>Tableau1[[#This Row],[d1]]-$R$4*SQRT($O$4)</f>
        <v>0.86455384971030991</v>
      </c>
      <c r="E297">
        <f>NORMSDIST(Tableau1[[#This Row],[d1]])</f>
        <v>0.96118061123216125</v>
      </c>
      <c r="F297">
        <f>NORMSDIST(Tableau1[[#This Row],[d2]])</f>
        <v>0.80635814397516614</v>
      </c>
      <c r="G297">
        <f>Tableau1[[#This Row],[P]]*Tableau1[[#This Row],[N(d1)]]-$P$4*EXP(-$N$4*$O$4)*Tableau1[[#This Row],[N(d2)]]</f>
        <v>210.68027895616626</v>
      </c>
      <c r="L297">
        <f>MAX(Tableau1[[#This Row],[P]]-$P$4)-Tableau1[[#This Row],[C]]</f>
        <v>-10.680278956166262</v>
      </c>
      <c r="M297">
        <f xml:space="preserve"> Tableau1[[#This Row],[C]] - 0.5 * (-50) * (Tableau1[[#This Row],[P]] - $P$4)</f>
        <v>5210.6802789561661</v>
      </c>
    </row>
    <row r="298" spans="2:13" x14ac:dyDescent="0.3">
      <c r="B298">
        <v>296</v>
      </c>
      <c r="C298">
        <f t="shared" si="4"/>
        <v>1.7683139585816885</v>
      </c>
      <c r="D298">
        <f>Tableau1[[#This Row],[d1]]-$R$4*SQRT($O$4)</f>
        <v>0.86831395858168847</v>
      </c>
      <c r="E298">
        <f>NORMSDIST(Tableau1[[#This Row],[d1]])</f>
        <v>0.96149578418290038</v>
      </c>
      <c r="F298">
        <f>NORMSDIST(Tableau1[[#This Row],[d2]])</f>
        <v>0.80738875863043802</v>
      </c>
      <c r="G298">
        <f>Tableau1[[#This Row],[P]]*Tableau1[[#This Row],[N(d1)]]-$P$4*EXP(-$N$4*$O$4)*Tableau1[[#This Row],[N(d2)]]</f>
        <v>211.64161741720267</v>
      </c>
      <c r="L298">
        <f>MAX(Tableau1[[#This Row],[P]]-$P$4)-Tableau1[[#This Row],[C]]</f>
        <v>-10.641617417202667</v>
      </c>
      <c r="M298">
        <f xml:space="preserve"> Tableau1[[#This Row],[C]] - 0.5 * (-50) * (Tableau1[[#This Row],[P]] - $P$4)</f>
        <v>5236.6416174172027</v>
      </c>
    </row>
    <row r="299" spans="2:13" x14ac:dyDescent="0.3">
      <c r="B299">
        <v>297</v>
      </c>
      <c r="C299">
        <f t="shared" si="4"/>
        <v>1.7720613857801766</v>
      </c>
      <c r="D299">
        <f>Tableau1[[#This Row],[d1]]-$R$4*SQRT($O$4)</f>
        <v>0.87206138578017656</v>
      </c>
      <c r="E299">
        <f>NORMSDIST(Tableau1[[#This Row],[d1]])</f>
        <v>0.96180781605006571</v>
      </c>
      <c r="F299">
        <f>NORMSDIST(Tableau1[[#This Row],[d2]])</f>
        <v>0.80841255490525576</v>
      </c>
      <c r="G299">
        <f>Tableau1[[#This Row],[P]]*Tableau1[[#This Row],[N(d1)]]-$P$4*EXP(-$N$4*$O$4)*Tableau1[[#This Row],[N(d2)]]</f>
        <v>212.60326947751008</v>
      </c>
      <c r="L299">
        <f>MAX(Tableau1[[#This Row],[P]]-$P$4)-Tableau1[[#This Row],[C]]</f>
        <v>-10.603269477510082</v>
      </c>
      <c r="M299">
        <f xml:space="preserve"> Tableau1[[#This Row],[C]] - 0.5 * (-50) * (Tableau1[[#This Row],[P]] - $P$4)</f>
        <v>5262.6032694775104</v>
      </c>
    </row>
    <row r="300" spans="2:13" x14ac:dyDescent="0.3">
      <c r="B300">
        <v>298</v>
      </c>
      <c r="C300">
        <f t="shared" si="4"/>
        <v>1.7757962165609595</v>
      </c>
      <c r="D300">
        <f>Tableau1[[#This Row],[d1]]-$R$4*SQRT($O$4)</f>
        <v>0.87579621656095952</v>
      </c>
      <c r="E300">
        <f>NORMSDIST(Tableau1[[#This Row],[d1]])</f>
        <v>0.96211674422580984</v>
      </c>
      <c r="F300">
        <f>NORMSDIST(Tableau1[[#This Row],[d2]])</f>
        <v>0.80942958638074392</v>
      </c>
      <c r="G300">
        <f>Tableau1[[#This Row],[P]]*Tableau1[[#This Row],[N(d1)]]-$P$4*EXP(-$N$4*$O$4)*Tableau1[[#This Row],[N(d2)]]</f>
        <v>213.56523201474474</v>
      </c>
      <c r="L300">
        <f>MAX(Tableau1[[#This Row],[P]]-$P$4)-Tableau1[[#This Row],[C]]</f>
        <v>-10.565232014744737</v>
      </c>
      <c r="M300">
        <f xml:space="preserve"> Tableau1[[#This Row],[C]] - 0.5 * (-50) * (Tableau1[[#This Row],[P]] - $P$4)</f>
        <v>5288.5652320147447</v>
      </c>
    </row>
    <row r="301" spans="2:13" x14ac:dyDescent="0.3">
      <c r="B301">
        <v>299</v>
      </c>
      <c r="C301">
        <f t="shared" si="4"/>
        <v>1.7795185353223841</v>
      </c>
      <c r="D301">
        <f>Tableau1[[#This Row],[d1]]-$R$4*SQRT($O$4)</f>
        <v>0.87951853532238411</v>
      </c>
      <c r="E301">
        <f>NORMSDIST(Tableau1[[#This Row],[d1]])</f>
        <v>0.96242260558256087</v>
      </c>
      <c r="F301">
        <f>NORMSDIST(Tableau1[[#This Row],[d2]])</f>
        <v>0.81043990616262629</v>
      </c>
      <c r="G301">
        <f>Tableau1[[#This Row],[P]]*Tableau1[[#This Row],[N(d1)]]-$P$4*EXP(-$N$4*$O$4)*Tableau1[[#This Row],[N(d2)]]</f>
        <v>214.5275019436944</v>
      </c>
      <c r="L301">
        <f>MAX(Tableau1[[#This Row],[P]]-$P$4)-Tableau1[[#This Row],[C]]</f>
        <v>-10.527501943694404</v>
      </c>
      <c r="M301">
        <f xml:space="preserve"> Tableau1[[#This Row],[C]] - 0.5 * (-50) * (Tableau1[[#This Row],[P]] - $P$4)</f>
        <v>5314.527501943694</v>
      </c>
    </row>
    <row r="302" spans="2:13" x14ac:dyDescent="0.3">
      <c r="B302">
        <v>300</v>
      </c>
      <c r="C302">
        <f t="shared" si="4"/>
        <v>1.7832284256174002</v>
      </c>
      <c r="D302">
        <f>Tableau1[[#This Row],[d1]]-$R$4*SQRT($O$4)</f>
        <v>0.88322842561740023</v>
      </c>
      <c r="E302">
        <f>NORMSDIST(Tableau1[[#This Row],[d1]])</f>
        <v>0.96272543648129694</v>
      </c>
      <c r="F302">
        <f>NORMSDIST(Tableau1[[#This Row],[d2]])</f>
        <v>0.81144356688564079</v>
      </c>
      <c r="G302">
        <f>Tableau1[[#This Row],[P]]*Tableau1[[#This Row],[N(d1)]]-$P$4*EXP(-$N$4*$O$4)*Tableau1[[#This Row],[N(d2)]]</f>
        <v>215.49007621576277</v>
      </c>
      <c r="L302">
        <f>MAX(Tableau1[[#This Row],[P]]-$P$4)-Tableau1[[#This Row],[C]]</f>
        <v>-10.49007621576277</v>
      </c>
      <c r="M302">
        <f xml:space="preserve"> Tableau1[[#This Row],[C]] - 0.5 * (-50) * (Tableau1[[#This Row],[P]] - $P$4)</f>
        <v>5340.4900762157631</v>
      </c>
    </row>
    <row r="303" spans="2:13" x14ac:dyDescent="0.3">
      <c r="B303">
        <v>301</v>
      </c>
      <c r="C303">
        <f t="shared" si="4"/>
        <v>1.7869259701648166</v>
      </c>
      <c r="D303">
        <f>Tableau1[[#This Row],[d1]]-$R$4*SQRT($O$4)</f>
        <v>0.88692597016481656</v>
      </c>
      <c r="E303">
        <f>NORMSDIST(Tableau1[[#This Row],[d1]])</f>
        <v>0.96302527277967065</v>
      </c>
      <c r="F303">
        <f>NORMSDIST(Tableau1[[#This Row],[d2]])</f>
        <v>0.81244062071792067</v>
      </c>
      <c r="G303">
        <f>Tableau1[[#This Row],[P]]*Tableau1[[#This Row],[N(d1)]]-$P$4*EXP(-$N$4*$O$4)*Tableau1[[#This Row],[N(d2)]]</f>
        <v>216.4529518184624</v>
      </c>
      <c r="L303">
        <f>MAX(Tableau1[[#This Row],[P]]-$P$4)-Tableau1[[#This Row],[C]]</f>
        <v>-10.452951818462395</v>
      </c>
      <c r="M303">
        <f xml:space="preserve"> Tableau1[[#This Row],[C]] - 0.5 * (-50) * (Tableau1[[#This Row],[P]] - $P$4)</f>
        <v>5366.4529518184627</v>
      </c>
    </row>
    <row r="304" spans="2:13" x14ac:dyDescent="0.3">
      <c r="B304">
        <v>302</v>
      </c>
      <c r="C304">
        <f t="shared" si="4"/>
        <v>1.7906112508603655</v>
      </c>
      <c r="D304">
        <f>Tableau1[[#This Row],[d1]]-$R$4*SQRT($O$4)</f>
        <v>0.89061125086036552</v>
      </c>
      <c r="E304">
        <f>NORMSDIST(Tableau1[[#This Row],[d1]])</f>
        <v>0.96332214983998954</v>
      </c>
      <c r="F304">
        <f>NORMSDIST(Tableau1[[#This Row],[d2]])</f>
        <v>0.81343111936533885</v>
      </c>
      <c r="G304">
        <f>Tableau1[[#This Row],[P]]*Tableau1[[#This Row],[N(d1)]]-$P$4*EXP(-$N$4*$O$4)*Tableau1[[#This Row],[N(d2)]]</f>
        <v>217.41612577491489</v>
      </c>
      <c r="L304">
        <f>MAX(Tableau1[[#This Row],[P]]-$P$4)-Tableau1[[#This Row],[C]]</f>
        <v>-10.416125774914889</v>
      </c>
      <c r="M304">
        <f xml:space="preserve"> Tableau1[[#This Row],[C]] - 0.5 * (-50) * (Tableau1[[#This Row],[P]] - $P$4)</f>
        <v>5392.4161257749147</v>
      </c>
    </row>
    <row r="305" spans="2:13" x14ac:dyDescent="0.3">
      <c r="B305">
        <v>303</v>
      </c>
      <c r="C305">
        <f t="shared" si="4"/>
        <v>1.794284348787587</v>
      </c>
      <c r="D305">
        <f>Tableau1[[#This Row],[d1]]-$R$4*SQRT($O$4)</f>
        <v>0.894284348787587</v>
      </c>
      <c r="E305">
        <f>NORMSDIST(Tableau1[[#This Row],[d1]])</f>
        <v>0.96361610253705321</v>
      </c>
      <c r="F305">
        <f>NORMSDIST(Tableau1[[#This Row],[d2]])</f>
        <v>0.81441511407581757</v>
      </c>
      <c r="G305">
        <f>Tableau1[[#This Row],[P]]*Tableau1[[#This Row],[N(d1)]]-$P$4*EXP(-$N$4*$O$4)*Tableau1[[#This Row],[N(d2)]]</f>
        <v>218.37959514335989</v>
      </c>
      <c r="L305">
        <f>MAX(Tableau1[[#This Row],[P]]-$P$4)-Tableau1[[#This Row],[C]]</f>
        <v>-10.379595143359893</v>
      </c>
      <c r="M305">
        <f xml:space="preserve"> Tableau1[[#This Row],[C]] - 0.5 * (-50) * (Tableau1[[#This Row],[P]] - $P$4)</f>
        <v>5418.3795951433603</v>
      </c>
    </row>
    <row r="306" spans="2:13" x14ac:dyDescent="0.3">
      <c r="B306">
        <v>304</v>
      </c>
      <c r="C306">
        <f t="shared" si="4"/>
        <v>1.7979453442285342</v>
      </c>
      <c r="D306">
        <f>Tableau1[[#This Row],[d1]]-$R$4*SQRT($O$4)</f>
        <v>0.89794534422853423</v>
      </c>
      <c r="E306">
        <f>NORMSDIST(Tableau1[[#This Row],[d1]])</f>
        <v>0.96390716526585141</v>
      </c>
      <c r="F306">
        <f>NORMSDIST(Tableau1[[#This Row],[d2]])</f>
        <v>0.81539265564360175</v>
      </c>
      <c r="G306">
        <f>Tableau1[[#This Row],[P]]*Tableau1[[#This Row],[N(d1)]]-$P$4*EXP(-$N$4*$O$4)*Tableau1[[#This Row],[N(d2)]]</f>
        <v>219.34335701667146</v>
      </c>
      <c r="L306">
        <f>MAX(Tableau1[[#This Row],[P]]-$P$4)-Tableau1[[#This Row],[C]]</f>
        <v>-10.343357016671462</v>
      </c>
      <c r="M306">
        <f xml:space="preserve"> Tableau1[[#This Row],[C]] - 0.5 * (-50) * (Tableau1[[#This Row],[P]] - $P$4)</f>
        <v>5444.3433570166717</v>
      </c>
    </row>
    <row r="307" spans="2:13" x14ac:dyDescent="0.3">
      <c r="B307">
        <v>305</v>
      </c>
      <c r="C307">
        <f t="shared" si="4"/>
        <v>1.8015943166743009</v>
      </c>
      <c r="D307">
        <f>Tableau1[[#This Row],[d1]]-$R$4*SQRT($O$4)</f>
        <v>0.9015943166743009</v>
      </c>
      <c r="E307">
        <f>NORMSDIST(Tableau1[[#This Row],[d1]])</f>
        <v>0.96419537194912397</v>
      </c>
      <c r="F307">
        <f>NORMSDIST(Tableau1[[#This Row],[d2]])</f>
        <v>0.8163637944134976</v>
      </c>
      <c r="G307">
        <f>Tableau1[[#This Row],[P]]*Tableau1[[#This Row],[N(d1)]]-$P$4*EXP(-$N$4*$O$4)*Tableau1[[#This Row],[N(d2)]]</f>
        <v>220.3074085218816</v>
      </c>
      <c r="L307">
        <f>MAX(Tableau1[[#This Row],[P]]-$P$4)-Tableau1[[#This Row],[C]]</f>
        <v>-10.307408521881598</v>
      </c>
      <c r="M307">
        <f xml:space="preserve"> Tableau1[[#This Row],[C]] - 0.5 * (-50) * (Tableau1[[#This Row],[P]] - $P$4)</f>
        <v>5470.3074085218814</v>
      </c>
    </row>
    <row r="308" spans="2:13" x14ac:dyDescent="0.3">
      <c r="B308">
        <v>306</v>
      </c>
      <c r="C308">
        <f t="shared" si="4"/>
        <v>1.8052313448353776</v>
      </c>
      <c r="D308">
        <f>Tableau1[[#This Row],[d1]]-$R$4*SQRT($O$4)</f>
        <v>0.90523134483537759</v>
      </c>
      <c r="E308">
        <f>NORMSDIST(Tableau1[[#This Row],[d1]])</f>
        <v>0.96448075604478811</v>
      </c>
      <c r="F308">
        <f>NORMSDIST(Tableau1[[#This Row],[d2]])</f>
        <v>0.8173285802850746</v>
      </c>
      <c r="G308">
        <f>Tableau1[[#This Row],[P]]*Tableau1[[#This Row],[N(d1)]]-$P$4*EXP(-$N$4*$O$4)*Tableau1[[#This Row],[N(d2)]]</f>
        <v>221.27174681971223</v>
      </c>
      <c r="L308">
        <f>MAX(Tableau1[[#This Row],[P]]-$P$4)-Tableau1[[#This Row],[C]]</f>
        <v>-10.271746819712234</v>
      </c>
      <c r="M308">
        <f xml:space="preserve"> Tableau1[[#This Row],[C]] - 0.5 * (-50) * (Tableau1[[#This Row],[P]] - $P$4)</f>
        <v>5496.2717468197125</v>
      </c>
    </row>
    <row r="309" spans="2:13" x14ac:dyDescent="0.3">
      <c r="B309">
        <v>307</v>
      </c>
      <c r="C309">
        <f t="shared" si="4"/>
        <v>1.8088565066518403</v>
      </c>
      <c r="D309">
        <f>Tableau1[[#This Row],[d1]]-$R$4*SQRT($O$4)</f>
        <v>0.90885650665184026</v>
      </c>
      <c r="E309">
        <f>NORMSDIST(Tableau1[[#This Row],[d1]])</f>
        <v>0.96476335055323326</v>
      </c>
      <c r="F309">
        <f>NORMSDIST(Tableau1[[#This Row],[d2]])</f>
        <v>0.81828706271683416</v>
      </c>
      <c r="G309">
        <f>Tableau1[[#This Row],[P]]*Tableau1[[#This Row],[N(d1)]]-$P$4*EXP(-$N$4*$O$4)*Tableau1[[#This Row],[N(d2)]]</f>
        <v>222.23636910411381</v>
      </c>
      <c r="L309">
        <f>MAX(Tableau1[[#This Row],[P]]-$P$4)-Tableau1[[#This Row],[C]]</f>
        <v>-10.236369104113805</v>
      </c>
      <c r="M309">
        <f xml:space="preserve"> Tableau1[[#This Row],[C]] - 0.5 * (-50) * (Tableau1[[#This Row],[P]] - $P$4)</f>
        <v>5522.2363691041137</v>
      </c>
    </row>
    <row r="310" spans="2:13" x14ac:dyDescent="0.3">
      <c r="B310">
        <v>308</v>
      </c>
      <c r="C310">
        <f t="shared" si="4"/>
        <v>1.8124698793033707</v>
      </c>
      <c r="D310">
        <f>Tableau1[[#This Row],[d1]]-$R$4*SQRT($O$4)</f>
        <v>0.91246987930337065</v>
      </c>
      <c r="E310">
        <f>NORMSDIST(Tableau1[[#This Row],[d1]])</f>
        <v>0.9650431880244863</v>
      </c>
      <c r="F310">
        <f>NORMSDIST(Tableau1[[#This Row],[d2]])</f>
        <v>0.81923929073034063</v>
      </c>
      <c r="G310">
        <f>Tableau1[[#This Row],[P]]*Tableau1[[#This Row],[N(d1)]]-$P$4*EXP(-$N$4*$O$4)*Tableau1[[#This Row],[N(d2)]]</f>
        <v>223.20127260181124</v>
      </c>
      <c r="L310">
        <f>MAX(Tableau1[[#This Row],[P]]-$P$4)-Tableau1[[#This Row],[C]]</f>
        <v>-10.20127260181124</v>
      </c>
      <c r="M310">
        <f xml:space="preserve"> Tableau1[[#This Row],[C]] - 0.5 * (-50) * (Tableau1[[#This Row],[P]] - $P$4)</f>
        <v>5548.2012726018111</v>
      </c>
    </row>
    <row r="311" spans="2:13" x14ac:dyDescent="0.3">
      <c r="B311">
        <v>309</v>
      </c>
      <c r="C311">
        <f t="shared" si="4"/>
        <v>1.8160715392191162</v>
      </c>
      <c r="D311">
        <f>Tableau1[[#This Row],[d1]]-$R$4*SQRT($O$4)</f>
        <v>0.91607153921911622</v>
      </c>
      <c r="E311">
        <f>NORMSDIST(Tableau1[[#This Row],[d1]])</f>
        <v>0.96532030056525209</v>
      </c>
      <c r="F311">
        <f>NORMSDIST(Tableau1[[#This Row],[d2]])</f>
        <v>0.82018531291431884</v>
      </c>
      <c r="G311">
        <f>Tableau1[[#This Row],[P]]*Tableau1[[#This Row],[N(d1)]]-$P$4*EXP(-$N$4*$O$4)*Tableau1[[#This Row],[N(d2)]]</f>
        <v>224.16645457185746</v>
      </c>
      <c r="L311">
        <f>MAX(Tableau1[[#This Row],[P]]-$P$4)-Tableau1[[#This Row],[C]]</f>
        <v>-10.166454571857457</v>
      </c>
      <c r="M311">
        <f xml:space="preserve"> Tableau1[[#This Row],[C]] - 0.5 * (-50) * (Tableau1[[#This Row],[P]] - $P$4)</f>
        <v>5574.1664545718577</v>
      </c>
    </row>
    <row r="312" spans="2:13" x14ac:dyDescent="0.3">
      <c r="B312">
        <v>310</v>
      </c>
      <c r="C312">
        <f t="shared" si="4"/>
        <v>1.8196615620873902</v>
      </c>
      <c r="D312">
        <f>Tableau1[[#This Row],[d1]]-$R$4*SQRT($O$4)</f>
        <v>0.91966156208739014</v>
      </c>
      <c r="E312">
        <f>NORMSDIST(Tableau1[[#This Row],[d1]])</f>
        <v>0.96559471984582812</v>
      </c>
      <c r="F312">
        <f>NORMSDIST(Tableau1[[#This Row],[d2]])</f>
        <v>0.82112517742871571</v>
      </c>
      <c r="G312">
        <f>Tableau1[[#This Row],[P]]*Tableau1[[#This Row],[N(d1)]]-$P$4*EXP(-$N$4*$O$4)*Tableau1[[#This Row],[N(d2)]]</f>
        <v>225.13191230519317</v>
      </c>
      <c r="L312">
        <f>MAX(Tableau1[[#This Row],[P]]-$P$4)-Tableau1[[#This Row],[C]]</f>
        <v>-10.131912305193168</v>
      </c>
      <c r="M312">
        <f xml:space="preserve"> Tableau1[[#This Row],[C]] - 0.5 * (-50) * (Tableau1[[#This Row],[P]] - $P$4)</f>
        <v>5600.1319123051935</v>
      </c>
    </row>
    <row r="313" spans="2:13" x14ac:dyDescent="0.3">
      <c r="B313">
        <v>311</v>
      </c>
      <c r="C313">
        <f t="shared" si="4"/>
        <v>1.8232400228652148</v>
      </c>
      <c r="D313">
        <f>Tableau1[[#This Row],[d1]]-$R$4*SQRT($O$4)</f>
        <v>0.92324002286521478</v>
      </c>
      <c r="E313">
        <f>NORMSDIST(Tableau1[[#This Row],[d1]])</f>
        <v>0.96586647710689888</v>
      </c>
      <c r="F313">
        <f>NORMSDIST(Tableau1[[#This Row],[d2]])</f>
        <v>0.82205893200872671</v>
      </c>
      <c r="G313">
        <f>Tableau1[[#This Row],[P]]*Tableau1[[#This Row],[N(d1)]]-$P$4*EXP(-$N$4*$O$4)*Tableau1[[#This Row],[N(d2)]]</f>
        <v>226.09764312421393</v>
      </c>
      <c r="L313">
        <f>MAX(Tableau1[[#This Row],[P]]-$P$4)-Tableau1[[#This Row],[C]]</f>
        <v>-10.097643124213931</v>
      </c>
      <c r="M313">
        <f xml:space="preserve"> Tableau1[[#This Row],[C]] - 0.5 * (-50) * (Tableau1[[#This Row],[P]] - $P$4)</f>
        <v>5626.0976431242143</v>
      </c>
    </row>
    <row r="314" spans="2:13" x14ac:dyDescent="0.3">
      <c r="B314">
        <v>312</v>
      </c>
      <c r="C314">
        <f t="shared" si="4"/>
        <v>1.8268069957877129</v>
      </c>
      <c r="D314">
        <f>Tableau1[[#This Row],[d1]]-$R$4*SQRT($O$4)</f>
        <v>0.92680699578771286</v>
      </c>
      <c r="E314">
        <f>NORMSDIST(Tableau1[[#This Row],[d1]])</f>
        <v>0.96613560316621083</v>
      </c>
      <c r="F314">
        <f>NORMSDIST(Tableau1[[#This Row],[d2]])</f>
        <v>0.82298662396878808</v>
      </c>
      <c r="G314">
        <f>Tableau1[[#This Row],[P]]*Tableau1[[#This Row],[N(d1)]]-$P$4*EXP(-$N$4*$O$4)*Tableau1[[#This Row],[N(d2)]]</f>
        <v>227.06364438234425</v>
      </c>
      <c r="L314">
        <f>MAX(Tableau1[[#This Row],[P]]-$P$4)-Tableau1[[#This Row],[C]]</f>
        <v>-10.063644382344251</v>
      </c>
      <c r="M314">
        <f xml:space="preserve"> Tableau1[[#This Row],[C]] - 0.5 * (-50) * (Tableau1[[#This Row],[P]] - $P$4)</f>
        <v>5652.0636443823441</v>
      </c>
    </row>
    <row r="315" spans="2:13" x14ac:dyDescent="0.3">
      <c r="B315">
        <v>313</v>
      </c>
      <c r="C315">
        <f t="shared" si="4"/>
        <v>1.8303625543773472</v>
      </c>
      <c r="D315">
        <f>Tableau1[[#This Row],[d1]]-$R$4*SQRT($O$4)</f>
        <v>0.93036255437734716</v>
      </c>
      <c r="E315">
        <f>NORMSDIST(Tableau1[[#This Row],[d1]])</f>
        <v>0.96640212842512963</v>
      </c>
      <c r="F315">
        <f>NORMSDIST(Tableau1[[#This Row],[d2]])</f>
        <v>0.82390830020653327</v>
      </c>
      <c r="G315">
        <f>Tableau1[[#This Row],[P]]*Tableau1[[#This Row],[N(d1)]]-$P$4*EXP(-$N$4*$O$4)*Tableau1[[#This Row],[N(d2)]]</f>
        <v>228.0299134636175</v>
      </c>
      <c r="L315">
        <f>MAX(Tableau1[[#This Row],[P]]-$P$4)-Tableau1[[#This Row],[C]]</f>
        <v>-10.029913463617504</v>
      </c>
      <c r="M315">
        <f xml:space="preserve"> Tableau1[[#This Row],[C]] - 0.5 * (-50) * (Tableau1[[#This Row],[P]] - $P$4)</f>
        <v>5678.029913463617</v>
      </c>
    </row>
    <row r="316" spans="2:13" x14ac:dyDescent="0.3">
      <c r="B316">
        <v>314</v>
      </c>
      <c r="C316">
        <f t="shared" si="4"/>
        <v>1.833906771453014</v>
      </c>
      <c r="D316">
        <f>Tableau1[[#This Row],[d1]]-$R$4*SQRT($O$4)</f>
        <v>0.93390677145301393</v>
      </c>
      <c r="E316">
        <f>NORMSDIST(Tableau1[[#This Row],[d1]])</f>
        <v>0.96666608287508404</v>
      </c>
      <c r="F316">
        <f>NORMSDIST(Tableau1[[#This Row],[d2]])</f>
        <v>0.82482400720671623</v>
      </c>
      <c r="G316">
        <f>Tableau1[[#This Row],[P]]*Tableau1[[#This Row],[N(d1)]]-$P$4*EXP(-$N$4*$O$4)*Tableau1[[#This Row],[N(d2)]]</f>
        <v>228.99644778226275</v>
      </c>
      <c r="L316">
        <f>MAX(Tableau1[[#This Row],[P]]-$P$4)-Tableau1[[#This Row],[C]]</f>
        <v>-9.9964477822627487</v>
      </c>
      <c r="M316">
        <f xml:space="preserve"> Tableau1[[#This Row],[C]] - 0.5 * (-50) * (Tableau1[[#This Row],[P]] - $P$4)</f>
        <v>5703.9964477822632</v>
      </c>
    </row>
    <row r="317" spans="2:13" x14ac:dyDescent="0.3">
      <c r="B317">
        <v>315</v>
      </c>
      <c r="C317">
        <f t="shared" si="4"/>
        <v>1.8374397191389915</v>
      </c>
      <c r="D317">
        <f>Tableau1[[#This Row],[d1]]-$R$4*SQRT($O$4)</f>
        <v>0.93743971913899149</v>
      </c>
      <c r="E317">
        <f>NORMSDIST(Tableau1[[#This Row],[d1]])</f>
        <v>0.9669274961038965</v>
      </c>
      <c r="F317">
        <f>NORMSDIST(Tableau1[[#This Row],[d2]])</f>
        <v>0.82573379104509803</v>
      </c>
      <c r="G317">
        <f>Tableau1[[#This Row],[P]]*Tableau1[[#This Row],[N(d1)]]-$P$4*EXP(-$N$4*$O$4)*Tableau1[[#This Row],[N(d2)]]</f>
        <v>229.96324478229835</v>
      </c>
      <c r="L317">
        <f>MAX(Tableau1[[#This Row],[P]]-$P$4)-Tableau1[[#This Row],[C]]</f>
        <v>-9.9632447822983465</v>
      </c>
      <c r="M317">
        <f xml:space="preserve"> Tableau1[[#This Row],[C]] - 0.5 * (-50) * (Tableau1[[#This Row],[P]] - $P$4)</f>
        <v>5729.9632447822987</v>
      </c>
    </row>
    <row r="318" spans="2:13" x14ac:dyDescent="0.3">
      <c r="B318">
        <v>316</v>
      </c>
      <c r="C318">
        <f t="shared" si="4"/>
        <v>1.8409614688737459</v>
      </c>
      <c r="D318">
        <f>Tableau1[[#This Row],[d1]]-$R$4*SQRT($O$4)</f>
        <v>0.94096146887374588</v>
      </c>
      <c r="E318">
        <f>NORMSDIST(Tableau1[[#This Row],[d1]])</f>
        <v>0.96718639730200417</v>
      </c>
      <c r="F318">
        <f>NORMSDIST(Tableau1[[#This Row],[d2]])</f>
        <v>0.82663769739230097</v>
      </c>
      <c r="G318">
        <f>Tableau1[[#This Row],[P]]*Tableau1[[#This Row],[N(d1)]]-$P$4*EXP(-$N$4*$O$4)*Tableau1[[#This Row],[N(d2)]]</f>
        <v>230.93030193713133</v>
      </c>
      <c r="L318">
        <f>MAX(Tableau1[[#This Row],[P]]-$P$4)-Tableau1[[#This Row],[C]]</f>
        <v>-9.9303019371313326</v>
      </c>
      <c r="M318">
        <f xml:space="preserve"> Tableau1[[#This Row],[C]] - 0.5 * (-50) * (Tableau1[[#This Row],[P]] - $P$4)</f>
        <v>5755.9303019371309</v>
      </c>
    </row>
    <row r="319" spans="2:13" x14ac:dyDescent="0.3">
      <c r="B319">
        <v>317</v>
      </c>
      <c r="C319">
        <f t="shared" si="4"/>
        <v>1.8444720914185997</v>
      </c>
      <c r="D319">
        <f>Tableau1[[#This Row],[d1]]-$R$4*SQRT($O$4)</f>
        <v>0.94447209141859967</v>
      </c>
      <c r="E319">
        <f>NORMSDIST(Tableau1[[#This Row],[d1]])</f>
        <v>0.96744281526857157</v>
      </c>
      <c r="F319">
        <f>NORMSDIST(Tableau1[[#This Row],[d2]])</f>
        <v>0.82753577151762758</v>
      </c>
      <c r="G319">
        <f>Tableau1[[#This Row],[P]]*Tableau1[[#This Row],[N(d1)]]-$P$4*EXP(-$N$4*$O$4)*Tableau1[[#This Row],[N(d2)]]</f>
        <v>231.89761674916278</v>
      </c>
      <c r="L319">
        <f>MAX(Tableau1[[#This Row],[P]]-$P$4)-Tableau1[[#This Row],[C]]</f>
        <v>-9.8976167491627791</v>
      </c>
      <c r="M319">
        <f xml:space="preserve"> Tableau1[[#This Row],[C]] - 0.5 * (-50) * (Tableau1[[#This Row],[P]] - $P$4)</f>
        <v>5781.8976167491628</v>
      </c>
    </row>
    <row r="320" spans="2:13" x14ac:dyDescent="0.3">
      <c r="B320">
        <v>318</v>
      </c>
      <c r="C320">
        <f t="shared" si="4"/>
        <v>1.8479716568662625</v>
      </c>
      <c r="D320">
        <f>Tableau1[[#This Row],[d1]]-$R$4*SQRT($O$4)</f>
        <v>0.9479716568662625</v>
      </c>
      <c r="E320">
        <f>NORMSDIST(Tableau1[[#This Row],[d1]])</f>
        <v>0.96769677841749724</v>
      </c>
      <c r="F320">
        <f>NORMSDIST(Tableau1[[#This Row],[d2]])</f>
        <v>0.82842805829284538</v>
      </c>
      <c r="G320">
        <f>Tableau1[[#This Row],[P]]*Tableau1[[#This Row],[N(d1)]]-$P$4*EXP(-$N$4*$O$4)*Tableau1[[#This Row],[N(d2)]]</f>
        <v>232.86518674940012</v>
      </c>
      <c r="L320">
        <f>MAX(Tableau1[[#This Row],[P]]-$P$4)-Tableau1[[#This Row],[C]]</f>
        <v>-9.8651867494001237</v>
      </c>
      <c r="M320">
        <f xml:space="preserve"> Tableau1[[#This Row],[C]] - 0.5 * (-50) * (Tableau1[[#This Row],[P]] - $P$4)</f>
        <v>5807.8651867494</v>
      </c>
    </row>
    <row r="321" spans="2:13" x14ac:dyDescent="0.3">
      <c r="B321">
        <v>319</v>
      </c>
      <c r="C321">
        <f t="shared" si="4"/>
        <v>1.8514602346492262</v>
      </c>
      <c r="D321">
        <f>Tableau1[[#This Row],[d1]]-$R$4*SQRT($O$4)</f>
        <v>0.95146023464922613</v>
      </c>
      <c r="E321">
        <f>NORMSDIST(Tableau1[[#This Row],[d1]])</f>
        <v>0.96794831478331633</v>
      </c>
      <c r="F321">
        <f>NORMSDIST(Tableau1[[#This Row],[d2]])</f>
        <v>0.82931460219593789</v>
      </c>
      <c r="G321">
        <f>Tableau1[[#This Row],[P]]*Tableau1[[#This Row],[N(d1)]]-$P$4*EXP(-$N$4*$O$4)*Tableau1[[#This Row],[N(d2)]]</f>
        <v>233.83300949707427</v>
      </c>
      <c r="L321">
        <f>MAX(Tableau1[[#This Row],[P]]-$P$4)-Tableau1[[#This Row],[C]]</f>
        <v>-9.8330094970742721</v>
      </c>
      <c r="M321">
        <f xml:space="preserve"> Tableau1[[#This Row],[C]] - 0.5 * (-50) * (Tableau1[[#This Row],[P]] - $P$4)</f>
        <v>5833.8330094970743</v>
      </c>
    </row>
    <row r="322" spans="2:13" x14ac:dyDescent="0.3">
      <c r="B322">
        <v>320</v>
      </c>
      <c r="C322">
        <f t="shared" si="4"/>
        <v>1.8549378935480347</v>
      </c>
      <c r="D322">
        <f>Tableau1[[#This Row],[d1]]-$R$4*SQRT($O$4)</f>
        <v>0.95493789354803471</v>
      </c>
      <c r="E322">
        <f>NORMSDIST(Tableau1[[#This Row],[d1]])</f>
        <v>0.96819745202700203</v>
      </c>
      <c r="F322">
        <f>NORMSDIST(Tableau1[[#This Row],[d2]])</f>
        <v>0.83019544731482264</v>
      </c>
      <c r="G322">
        <f>Tableau1[[#This Row],[P]]*Tableau1[[#This Row],[N(d1)]]-$P$4*EXP(-$N$4*$O$4)*Tableau1[[#This Row],[N(d2)]]</f>
        <v>234.80108257926349</v>
      </c>
      <c r="L322">
        <f>MAX(Tableau1[[#This Row],[P]]-$P$4)-Tableau1[[#This Row],[C]]</f>
        <v>-9.8010825792634932</v>
      </c>
      <c r="M322">
        <f xml:space="preserve"> Tableau1[[#This Row],[C]] - 0.5 * (-50) * (Tableau1[[#This Row],[P]] - $P$4)</f>
        <v>5859.8010825792635</v>
      </c>
    </row>
    <row r="323" spans="2:13" x14ac:dyDescent="0.3">
      <c r="B323">
        <v>321</v>
      </c>
      <c r="C323">
        <f t="shared" ref="C323:C386" si="5" xml:space="preserve"> (LN($B323/$P$4) + ($N$4 + ($R$4^2)/2) * $O$4) / ($R$4 * SQRT($O$4))</f>
        <v>1.8584047016994167</v>
      </c>
      <c r="D323">
        <f>Tableau1[[#This Row],[d1]]-$R$4*SQRT($O$4)</f>
        <v>0.95840470169941672</v>
      </c>
      <c r="E323">
        <f>NORMSDIST(Tableau1[[#This Row],[d1]])</f>
        <v>0.96844421744166598</v>
      </c>
      <c r="F323">
        <f>NORMSDIST(Tableau1[[#This Row],[d2]])</f>
        <v>0.83107063735103359</v>
      </c>
      <c r="G323">
        <f>Tableau1[[#This Row],[P]]*Tableau1[[#This Row],[N(d1)]]-$P$4*EXP(-$N$4*$O$4)*Tableau1[[#This Row],[N(d2)]]</f>
        <v>235.7694036105226</v>
      </c>
      <c r="L323">
        <f>MAX(Tableau1[[#This Row],[P]]-$P$4)-Tableau1[[#This Row],[C]]</f>
        <v>-9.7694036105226019</v>
      </c>
      <c r="M323">
        <f xml:space="preserve"> Tableau1[[#This Row],[C]] - 0.5 * (-50) * (Tableau1[[#This Row],[P]] - $P$4)</f>
        <v>5885.7694036105222</v>
      </c>
    </row>
    <row r="324" spans="2:13" x14ac:dyDescent="0.3">
      <c r="B324">
        <v>322</v>
      </c>
      <c r="C324">
        <f t="shared" si="5"/>
        <v>1.8618607266042972</v>
      </c>
      <c r="D324">
        <f>Tableau1[[#This Row],[d1]]-$R$4*SQRT($O$4)</f>
        <v>0.96186072660429722</v>
      </c>
      <c r="E324">
        <f>NORMSDIST(Tableau1[[#This Row],[d1]])</f>
        <v>0.96868863795816129</v>
      </c>
      <c r="F324">
        <f>NORMSDIST(Tableau1[[#This Row],[d2]])</f>
        <v>0.83194021562337206</v>
      </c>
      <c r="G324">
        <f>Tableau1[[#This Row],[P]]*Tableau1[[#This Row],[N(d1)]]-$P$4*EXP(-$N$4*$O$4)*Tableau1[[#This Row],[N(d2)]]</f>
        <v>236.73797023251799</v>
      </c>
      <c r="L324">
        <f>MAX(Tableau1[[#This Row],[P]]-$P$4)-Tableau1[[#This Row],[C]]</f>
        <v>-9.7379702325179949</v>
      </c>
      <c r="M324">
        <f xml:space="preserve"> Tableau1[[#This Row],[C]] - 0.5 * (-50) * (Tableau1[[#This Row],[P]] - $P$4)</f>
        <v>5911.7379702325179</v>
      </c>
    </row>
    <row r="325" spans="2:13" x14ac:dyDescent="0.3">
      <c r="B325">
        <v>323</v>
      </c>
      <c r="C325">
        <f t="shared" si="5"/>
        <v>1.865306035135684</v>
      </c>
      <c r="D325">
        <f>Tableau1[[#This Row],[d1]]-$R$4*SQRT($O$4)</f>
        <v>0.96530603513568403</v>
      </c>
      <c r="E325">
        <f>NORMSDIST(Tableau1[[#This Row],[d1]])</f>
        <v>0.968930740150589</v>
      </c>
      <c r="F325">
        <f>NORMSDIST(Tableau1[[#This Row],[d2]])</f>
        <v>0.83280422507152385</v>
      </c>
      <c r="G325">
        <f>Tableau1[[#This Row],[P]]*Tableau1[[#This Row],[N(d1)]]-$P$4*EXP(-$N$4*$O$4)*Tableau1[[#This Row],[N(d2)]]</f>
        <v>237.70678011366812</v>
      </c>
      <c r="L325">
        <f>MAX(Tableau1[[#This Row],[P]]-$P$4)-Tableau1[[#This Row],[C]]</f>
        <v>-9.7067801136681169</v>
      </c>
      <c r="M325">
        <f xml:space="preserve"> Tableau1[[#This Row],[C]] - 0.5 * (-50) * (Tableau1[[#This Row],[P]] - $P$4)</f>
        <v>5937.7067801136682</v>
      </c>
    </row>
    <row r="326" spans="2:13" x14ac:dyDescent="0.3">
      <c r="B326">
        <v>324</v>
      </c>
      <c r="C326">
        <f t="shared" si="5"/>
        <v>1.8687406935464317</v>
      </c>
      <c r="D326">
        <f>Tableau1[[#This Row],[d1]]-$R$4*SQRT($O$4)</f>
        <v>0.96874069354643166</v>
      </c>
      <c r="E326">
        <f>NORMSDIST(Tableau1[[#This Row],[d1]])</f>
        <v>0.96917055024171073</v>
      </c>
      <c r="F326">
        <f>NORMSDIST(Tableau1[[#This Row],[d2]])</f>
        <v>0.83366270825964262</v>
      </c>
      <c r="G326">
        <f>Tableau1[[#This Row],[P]]*Tableau1[[#This Row],[N(d1)]]-$P$4*EXP(-$N$4*$O$4)*Tableau1[[#This Row],[N(d2)]]</f>
        <v>238.67583094878927</v>
      </c>
      <c r="L326">
        <f>MAX(Tableau1[[#This Row],[P]]-$P$4)-Tableau1[[#This Row],[C]]</f>
        <v>-9.6758309487892689</v>
      </c>
      <c r="M326">
        <f xml:space="preserve"> Tableau1[[#This Row],[C]] - 0.5 * (-50) * (Tableau1[[#This Row],[P]] - $P$4)</f>
        <v>5963.6758309487896</v>
      </c>
    </row>
    <row r="327" spans="2:13" x14ac:dyDescent="0.3">
      <c r="B327">
        <v>325</v>
      </c>
      <c r="C327">
        <f t="shared" si="5"/>
        <v>1.8721647674768851</v>
      </c>
      <c r="D327">
        <f>Tableau1[[#This Row],[d1]]-$R$4*SQRT($O$4)</f>
        <v>0.97216476747688507</v>
      </c>
      <c r="E327">
        <f>NORMSDIST(Tableau1[[#This Row],[d1]])</f>
        <v>0.96940809410826811</v>
      </c>
      <c r="F327">
        <f>NORMSDIST(Tableau1[[#This Row],[d2]])</f>
        <v>0.834515707379901</v>
      </c>
      <c r="G327">
        <f>Tableau1[[#This Row],[P]]*Tableau1[[#This Row],[N(d1)]]-$P$4*EXP(-$N$4*$O$4)*Tableau1[[#This Row],[N(d2)]]</f>
        <v>239.64512045874716</v>
      </c>
      <c r="L327">
        <f>MAX(Tableau1[[#This Row],[P]]-$P$4)-Tableau1[[#This Row],[C]]</f>
        <v>-9.645120458747158</v>
      </c>
      <c r="M327">
        <f xml:space="preserve"> Tableau1[[#This Row],[C]] - 0.5 * (-50) * (Tableau1[[#This Row],[P]] - $P$4)</f>
        <v>5989.6451204587474</v>
      </c>
    </row>
    <row r="328" spans="2:13" x14ac:dyDescent="0.3">
      <c r="B328">
        <v>326</v>
      </c>
      <c r="C328">
        <f t="shared" si="5"/>
        <v>1.8755783219624076</v>
      </c>
      <c r="D328">
        <f>Tableau1[[#This Row],[d1]]-$R$4*SQRT($O$4)</f>
        <v>0.97557832196240757</v>
      </c>
      <c r="E328">
        <f>NORMSDIST(Tableau1[[#This Row],[d1]])</f>
        <v>0.96964339728621185</v>
      </c>
      <c r="F328">
        <f>NORMSDIST(Tableau1[[#This Row],[d2]])</f>
        <v>0.83536326425600915</v>
      </c>
      <c r="G328">
        <f>Tableau1[[#This Row],[P]]*Tableau1[[#This Row],[N(d1)]]-$P$4*EXP(-$N$4*$O$4)*Tableau1[[#This Row],[N(d2)]]</f>
        <v>240.61464639011336</v>
      </c>
      <c r="L328">
        <f>MAX(Tableau1[[#This Row],[P]]-$P$4)-Tableau1[[#This Row],[C]]</f>
        <v>-9.6146463901133643</v>
      </c>
      <c r="M328">
        <f xml:space="preserve"> Tableau1[[#This Row],[C]] - 0.5 * (-50) * (Tableau1[[#This Row],[P]] - $P$4)</f>
        <v>6015.6146463901132</v>
      </c>
    </row>
    <row r="329" spans="2:13" x14ac:dyDescent="0.3">
      <c r="B329">
        <v>327</v>
      </c>
      <c r="C329">
        <f t="shared" si="5"/>
        <v>1.8789814214407916</v>
      </c>
      <c r="D329">
        <f>Tableau1[[#This Row],[d1]]-$R$4*SQRT($O$4)</f>
        <v>0.97898142144079159</v>
      </c>
      <c r="E329">
        <f>NORMSDIST(Tableau1[[#This Row],[d1]])</f>
        <v>0.96987648497584156</v>
      </c>
      <c r="F329">
        <f>NORMSDIST(Tableau1[[#This Row],[d2]])</f>
        <v>0.83620542034669976</v>
      </c>
      <c r="G329">
        <f>Tableau1[[#This Row],[P]]*Tableau1[[#This Row],[N(d1)]]-$P$4*EXP(-$N$4*$O$4)*Tableau1[[#This Row],[N(d2)]]</f>
        <v>241.58440651482715</v>
      </c>
      <c r="L329">
        <f>MAX(Tableau1[[#This Row],[P]]-$P$4)-Tableau1[[#This Row],[C]]</f>
        <v>-9.5844065148271511</v>
      </c>
      <c r="M329">
        <f xml:space="preserve"> Tableau1[[#This Row],[C]] - 0.5 * (-50) * (Tableau1[[#This Row],[P]] - $P$4)</f>
        <v>6041.5844065148267</v>
      </c>
    </row>
    <row r="330" spans="2:13" x14ac:dyDescent="0.3">
      <c r="B330">
        <v>328</v>
      </c>
      <c r="C330">
        <f t="shared" si="5"/>
        <v>1.8823741297595589</v>
      </c>
      <c r="D330">
        <f>Tableau1[[#This Row],[d1]]-$R$4*SQRT($O$4)</f>
        <v>0.98237412975955885</v>
      </c>
      <c r="E330">
        <f>NORMSDIST(Tableau1[[#This Row],[d1]])</f>
        <v>0.9701073820468582</v>
      </c>
      <c r="F330">
        <f>NORMSDIST(Tableau1[[#This Row],[d2]])</f>
        <v>0.83704221674918278</v>
      </c>
      <c r="G330">
        <f>Tableau1[[#This Row],[P]]*Tableau1[[#This Row],[N(d1)]]-$P$4*EXP(-$N$4*$O$4)*Tableau1[[#This Row],[N(d2)]]</f>
        <v>242.55439862986242</v>
      </c>
      <c r="L330">
        <f>MAX(Tableau1[[#This Row],[P]]-$P$4)-Tableau1[[#This Row],[C]]</f>
        <v>-9.5543986298624191</v>
      </c>
      <c r="M330">
        <f xml:space="preserve"> Tableau1[[#This Row],[C]] - 0.5 * (-50) * (Tableau1[[#This Row],[P]] - $P$4)</f>
        <v>6067.5543986298626</v>
      </c>
    </row>
    <row r="331" spans="2:13" x14ac:dyDescent="0.3">
      <c r="B331">
        <v>329</v>
      </c>
      <c r="C331">
        <f t="shared" si="5"/>
        <v>1.8857565101831457</v>
      </c>
      <c r="D331">
        <f>Tableau1[[#This Row],[d1]]-$R$4*SQRT($O$4)</f>
        <v>0.9857565101831457</v>
      </c>
      <c r="E331">
        <f>NORMSDIST(Tableau1[[#This Row],[d1]])</f>
        <v>0.97033611304333112</v>
      </c>
      <c r="F331">
        <f>NORMSDIST(Tableau1[[#This Row],[d2]])</f>
        <v>0.83787369420256519</v>
      </c>
      <c r="G331">
        <f>Tableau1[[#This Row],[P]]*Tableau1[[#This Row],[N(d1)]]-$P$4*EXP(-$N$4*$O$4)*Tableau1[[#This Row],[N(d2)]]</f>
        <v>243.52462055689961</v>
      </c>
      <c r="L331">
        <f>MAX(Tableau1[[#This Row],[P]]-$P$4)-Tableau1[[#This Row],[C]]</f>
        <v>-9.5246205568996061</v>
      </c>
      <c r="M331">
        <f xml:space="preserve"> Tableau1[[#This Row],[C]] - 0.5 * (-50) * (Tableau1[[#This Row],[P]] - $P$4)</f>
        <v>6093.5246205568992</v>
      </c>
    </row>
    <row r="332" spans="2:13" x14ac:dyDescent="0.3">
      <c r="B332">
        <v>330</v>
      </c>
      <c r="C332">
        <f t="shared" si="5"/>
        <v>1.8891286253999835</v>
      </c>
      <c r="D332">
        <f>Tableau1[[#This Row],[d1]]-$R$4*SQRT($O$4)</f>
        <v>0.98912862539998347</v>
      </c>
      <c r="E332">
        <f>NORMSDIST(Tableau1[[#This Row],[d1]])</f>
        <v>0.97056270218858021</v>
      </c>
      <c r="F332">
        <f>NORMSDIST(Tableau1[[#This Row],[d2]])</f>
        <v>0.83869989309124182</v>
      </c>
      <c r="G332">
        <f>Tableau1[[#This Row],[P]]*Tableau1[[#This Row],[N(d1)]]-$P$4*EXP(-$N$4*$O$4)*Tableau1[[#This Row],[N(d2)]]</f>
        <v>244.49507014200222</v>
      </c>
      <c r="L332">
        <f>MAX(Tableau1[[#This Row],[P]]-$P$4)-Tableau1[[#This Row],[C]]</f>
        <v>-9.4950701420022199</v>
      </c>
      <c r="M332">
        <f xml:space="preserve"> Tableau1[[#This Row],[C]] - 0.5 * (-50) * (Tableau1[[#This Row],[P]] - $P$4)</f>
        <v>6119.4950701420021</v>
      </c>
    </row>
    <row r="333" spans="2:13" x14ac:dyDescent="0.3">
      <c r="B333">
        <v>331</v>
      </c>
      <c r="C333">
        <f t="shared" si="5"/>
        <v>1.8924905375294689</v>
      </c>
      <c r="D333">
        <f>Tableau1[[#This Row],[d1]]-$R$4*SQRT($O$4)</f>
        <v>0.99249053752946892</v>
      </c>
      <c r="E333">
        <f>NORMSDIST(Tableau1[[#This Row],[d1]])</f>
        <v>0.97078717338997644</v>
      </c>
      <c r="F333">
        <f>NORMSDIST(Tableau1[[#This Row],[d2]])</f>
        <v>0.83952085344825234</v>
      </c>
      <c r="G333">
        <f>Tableau1[[#This Row],[P]]*Tableau1[[#This Row],[N(d1)]]-$P$4*EXP(-$N$4*$O$4)*Tableau1[[#This Row],[N(d2)]]</f>
        <v>245.46574525529894</v>
      </c>
      <c r="L333">
        <f>MAX(Tableau1[[#This Row],[P]]-$P$4)-Tableau1[[#This Row],[C]]</f>
        <v>-9.4657452552989412</v>
      </c>
      <c r="M333">
        <f xml:space="preserve"> Tableau1[[#This Row],[C]] - 0.5 * (-50) * (Tableau1[[#This Row],[P]] - $P$4)</f>
        <v>6145.4657452552992</v>
      </c>
    </row>
    <row r="334" spans="2:13" x14ac:dyDescent="0.3">
      <c r="B334">
        <v>332</v>
      </c>
      <c r="C334">
        <f t="shared" si="5"/>
        <v>1.8958423081288309</v>
      </c>
      <c r="D334">
        <f>Tableau1[[#This Row],[d1]]-$R$4*SQRT($O$4)</f>
        <v>0.9958423081288309</v>
      </c>
      <c r="E334">
        <f>NORMSDIST(Tableau1[[#This Row],[d1]])</f>
        <v>0.97100955024366065</v>
      </c>
      <c r="F334">
        <f>NORMSDIST(Tableau1[[#This Row],[d2]])</f>
        <v>0.84033661495860801</v>
      </c>
      <c r="G334">
        <f>Tableau1[[#This Row],[P]]*Tableau1[[#This Row],[N(d1)]]-$P$4*EXP(-$N$4*$O$4)*Tableau1[[#This Row],[N(d2)]]</f>
        <v>246.43664379066962</v>
      </c>
      <c r="L334">
        <f>MAX(Tableau1[[#This Row],[P]]-$P$4)-Tableau1[[#This Row],[C]]</f>
        <v>-9.4366437906696206</v>
      </c>
      <c r="M334">
        <f xml:space="preserve"> Tableau1[[#This Row],[C]] - 0.5 * (-50) * (Tableau1[[#This Row],[P]] - $P$4)</f>
        <v>6171.4366437906692</v>
      </c>
    </row>
    <row r="335" spans="2:13" x14ac:dyDescent="0.3">
      <c r="B335">
        <v>333</v>
      </c>
      <c r="C335">
        <f t="shared" si="5"/>
        <v>1.8991839981998921</v>
      </c>
      <c r="D335">
        <f>Tableau1[[#This Row],[d1]]-$R$4*SQRT($O$4)</f>
        <v>0.99918399819989212</v>
      </c>
      <c r="E335">
        <f>NORMSDIST(Tableau1[[#This Row],[d1]])</f>
        <v>0.97122985603918366</v>
      </c>
      <c r="F335">
        <f>NORMSDIST(Tableau1[[#This Row],[d2]])</f>
        <v>0.8411472169625861</v>
      </c>
      <c r="G335">
        <f>Tableau1[[#This Row],[P]]*Tableau1[[#This Row],[N(d1)]]-$P$4*EXP(-$N$4*$O$4)*Tableau1[[#This Row],[N(d2)]]</f>
        <v>247.40776366543685</v>
      </c>
      <c r="L335">
        <f>MAX(Tableau1[[#This Row],[P]]-$P$4)-Tableau1[[#This Row],[C]]</f>
        <v>-9.4077636654368462</v>
      </c>
      <c r="M335">
        <f xml:space="preserve"> Tableau1[[#This Row],[C]] - 0.5 * (-50) * (Tableau1[[#This Row],[P]] - $P$4)</f>
        <v>6197.4077636654365</v>
      </c>
    </row>
    <row r="336" spans="2:13" x14ac:dyDescent="0.3">
      <c r="B336">
        <v>334</v>
      </c>
      <c r="C336">
        <f t="shared" si="5"/>
        <v>1.9025156681957329</v>
      </c>
      <c r="D336">
        <f>Tableau1[[#This Row],[d1]]-$R$4*SQRT($O$4)</f>
        <v>1.0025156681957328</v>
      </c>
      <c r="E336">
        <f>NORMSDIST(Tableau1[[#This Row],[d1]])</f>
        <v>0.97144811376406737</v>
      </c>
      <c r="F336">
        <f>NORMSDIST(Tableau1[[#This Row],[d2]])</f>
        <v>0.84195269845899467</v>
      </c>
      <c r="G336">
        <f>Tableau1[[#This Row],[P]]*Tableau1[[#This Row],[N(d1)]]-$P$4*EXP(-$N$4*$O$4)*Tableau1[[#This Row],[N(d2)]]</f>
        <v>248.37910282006112</v>
      </c>
      <c r="L336">
        <f>MAX(Tableau1[[#This Row],[P]]-$P$4)-Tableau1[[#This Row],[C]]</f>
        <v>-9.3791028200611208</v>
      </c>
      <c r="M336">
        <f xml:space="preserve"> Tableau1[[#This Row],[C]] - 0.5 * (-50) * (Tableau1[[#This Row],[P]] - $P$4)</f>
        <v>6223.3791028200612</v>
      </c>
    </row>
    <row r="337" spans="2:13" x14ac:dyDescent="0.3">
      <c r="B337">
        <v>335</v>
      </c>
      <c r="C337">
        <f t="shared" si="5"/>
        <v>1.9058373780272506</v>
      </c>
      <c r="D337">
        <f>Tableau1[[#This Row],[d1]]-$R$4*SQRT($O$4)</f>
        <v>1.0058373780272505</v>
      </c>
      <c r="E337">
        <f>NORMSDIST(Tableau1[[#This Row],[d1]])</f>
        <v>0.97166434610829033</v>
      </c>
      <c r="F337">
        <f>NORMSDIST(Tableau1[[#This Row],[d2]])</f>
        <v>0.84275309810840482</v>
      </c>
      <c r="G337">
        <f>Tableau1[[#This Row],[P]]*Tableau1[[#This Row],[N(d1)]]-$P$4*EXP(-$N$4*$O$4)*Tableau1[[#This Row],[N(d2)]]</f>
        <v>249.35065921784133</v>
      </c>
      <c r="L337">
        <f>MAX(Tableau1[[#This Row],[P]]-$P$4)-Tableau1[[#This Row],[C]]</f>
        <v>-9.3506592178413257</v>
      </c>
      <c r="M337">
        <f xml:space="preserve"> Tableau1[[#This Row],[C]] - 0.5 * (-50) * (Tableau1[[#This Row],[P]] - $P$4)</f>
        <v>6249.350659217841</v>
      </c>
    </row>
    <row r="338" spans="2:13" x14ac:dyDescent="0.3">
      <c r="B338">
        <v>336</v>
      </c>
      <c r="C338">
        <f t="shared" si="5"/>
        <v>1.909149187069626</v>
      </c>
      <c r="D338">
        <f>Tableau1[[#This Row],[d1]]-$R$4*SQRT($O$4)</f>
        <v>1.0091491870696259</v>
      </c>
      <c r="E338">
        <f>NORMSDIST(Tableau1[[#This Row],[d1]])</f>
        <v>0.97187857546869783</v>
      </c>
      <c r="F338">
        <f>NORMSDIST(Tableau1[[#This Row],[d2]])</f>
        <v>0.84354845423635416</v>
      </c>
      <c r="G338">
        <f>Tableau1[[#This Row],[P]]*Tableau1[[#This Row],[N(d1)]]-$P$4*EXP(-$N$4*$O$4)*Tableau1[[#This Row],[N(d2)]]</f>
        <v>250.32243084461962</v>
      </c>
      <c r="L338">
        <f>MAX(Tableau1[[#This Row],[P]]-$P$4)-Tableau1[[#This Row],[C]]</f>
        <v>-9.3224308446196176</v>
      </c>
      <c r="M338">
        <f xml:space="preserve"> Tableau1[[#This Row],[C]] - 0.5 * (-50) * (Tableau1[[#This Row],[P]] - $P$4)</f>
        <v>6275.3224308446197</v>
      </c>
    </row>
    <row r="339" spans="2:13" x14ac:dyDescent="0.3">
      <c r="B339">
        <v>337</v>
      </c>
      <c r="C339">
        <f t="shared" si="5"/>
        <v>1.9124511541686897</v>
      </c>
      <c r="D339">
        <f>Tableau1[[#This Row],[d1]]-$R$4*SQRT($O$4)</f>
        <v>1.0124511541686898</v>
      </c>
      <c r="E339">
        <f>NORMSDIST(Tableau1[[#This Row],[d1]])</f>
        <v>0.97209082395333779</v>
      </c>
      <c r="F339">
        <f>NORMSDIST(Tableau1[[#This Row],[d2]])</f>
        <v>0.84433880483651791</v>
      </c>
      <c r="G339">
        <f>Tableau1[[#This Row],[P]]*Tableau1[[#This Row],[N(d1)]]-$P$4*EXP(-$N$4*$O$4)*Tableau1[[#This Row],[N(d2)]]</f>
        <v>251.29441570848996</v>
      </c>
      <c r="L339">
        <f>MAX(Tableau1[[#This Row],[P]]-$P$4)-Tableau1[[#This Row],[C]]</f>
        <v>-9.2944157084899643</v>
      </c>
      <c r="M339">
        <f xml:space="preserve"> Tableau1[[#This Row],[C]] - 0.5 * (-50) * (Tableau1[[#This Row],[P]] - $P$4)</f>
        <v>6301.2944157084903</v>
      </c>
    </row>
    <row r="340" spans="2:13" x14ac:dyDescent="0.3">
      <c r="B340">
        <v>338</v>
      </c>
      <c r="C340">
        <f t="shared" si="5"/>
        <v>1.9157433376471977</v>
      </c>
      <c r="D340">
        <f>Tableau1[[#This Row],[d1]]-$R$4*SQRT($O$4)</f>
        <v>1.0157433376471978</v>
      </c>
      <c r="E340">
        <f>NORMSDIST(Tableau1[[#This Row],[d1]])</f>
        <v>0.97230111338572578</v>
      </c>
      <c r="F340">
        <f>NORMSDIST(Tableau1[[#This Row],[d2]])</f>
        <v>0.84512418757385188</v>
      </c>
      <c r="G340">
        <f>Tableau1[[#This Row],[P]]*Tableau1[[#This Row],[N(d1)]]-$P$4*EXP(-$N$4*$O$4)*Tableau1[[#This Row],[N(d2)]]</f>
        <v>252.266611839512</v>
      </c>
      <c r="L340">
        <f>MAX(Tableau1[[#This Row],[P]]-$P$4)-Tableau1[[#This Row],[C]]</f>
        <v>-9.2666118395119952</v>
      </c>
      <c r="M340">
        <f xml:space="preserve"> Tableau1[[#This Row],[C]] - 0.5 * (-50) * (Tableau1[[#This Row],[P]] - $P$4)</f>
        <v>6327.2666118395118</v>
      </c>
    </row>
    <row r="341" spans="2:13" x14ac:dyDescent="0.3">
      <c r="B341">
        <v>339</v>
      </c>
      <c r="C341">
        <f t="shared" si="5"/>
        <v>1.9190257953110104</v>
      </c>
      <c r="D341">
        <f>Tableau1[[#This Row],[d1]]-$R$4*SQRT($O$4)</f>
        <v>1.0190257953110105</v>
      </c>
      <c r="E341">
        <f>NORMSDIST(Tableau1[[#This Row],[d1]])</f>
        <v>0.97250946530903704</v>
      </c>
      <c r="F341">
        <f>NORMSDIST(Tableau1[[#This Row],[d2]])</f>
        <v>0.84590463978770347</v>
      </c>
      <c r="G341">
        <f>Tableau1[[#This Row],[P]]*Tableau1[[#This Row],[N(d1)]]-$P$4*EXP(-$N$4*$O$4)*Tableau1[[#This Row],[N(d2)]]</f>
        <v>253.23901728942815</v>
      </c>
      <c r="L341">
        <f>MAX(Tableau1[[#This Row],[P]]-$P$4)-Tableau1[[#This Row],[C]]</f>
        <v>-9.2390172894281477</v>
      </c>
      <c r="M341">
        <f xml:space="preserve"> Tableau1[[#This Row],[C]] - 0.5 * (-50) * (Tableau1[[#This Row],[P]] - $P$4)</f>
        <v>6353.2390172894284</v>
      </c>
    </row>
    <row r="342" spans="2:13" x14ac:dyDescent="0.3">
      <c r="B342">
        <v>340</v>
      </c>
      <c r="C342">
        <f t="shared" si="5"/>
        <v>1.9222985844551848</v>
      </c>
      <c r="D342">
        <f>Tableau1[[#This Row],[d1]]-$R$4*SQRT($O$4)</f>
        <v>1.0222985844551848</v>
      </c>
      <c r="E342">
        <f>NORMSDIST(Tableau1[[#This Row],[d1]])</f>
        <v>0.97271590099023053</v>
      </c>
      <c r="F342">
        <f>NORMSDIST(Tableau1[[#This Row],[d2]])</f>
        <v>0.84668019849489495</v>
      </c>
      <c r="G342">
        <f>Tableau1[[#This Row],[P]]*Tableau1[[#This Row],[N(d1)]]-$P$4*EXP(-$N$4*$O$4)*Tableau1[[#This Row],[N(d2)]]</f>
        <v>254.21163013138573</v>
      </c>
      <c r="L342">
        <f>MAX(Tableau1[[#This Row],[P]]-$P$4)-Tableau1[[#This Row],[C]]</f>
        <v>-9.2116301313857321</v>
      </c>
      <c r="M342">
        <f xml:space="preserve"> Tableau1[[#This Row],[C]] - 0.5 * (-50) * (Tableau1[[#This Row],[P]] - $P$4)</f>
        <v>6379.2116301313854</v>
      </c>
    </row>
    <row r="343" spans="2:13" x14ac:dyDescent="0.3">
      <c r="B343">
        <v>341</v>
      </c>
      <c r="C343">
        <f t="shared" si="5"/>
        <v>1.9255617618699734</v>
      </c>
      <c r="D343">
        <f>Tableau1[[#This Row],[d1]]-$R$4*SQRT($O$4)</f>
        <v>1.0255617618699735</v>
      </c>
      <c r="E343">
        <f>NORMSDIST(Tableau1[[#This Row],[d1]])</f>
        <v>0.97292044142410405</v>
      </c>
      <c r="F343">
        <f>NORMSDIST(Tableau1[[#This Row],[d2]])</f>
        <v>0.84745090039277526</v>
      </c>
      <c r="G343">
        <f>Tableau1[[#This Row],[P]]*Tableau1[[#This Row],[N(d1)]]-$P$4*EXP(-$N$4*$O$4)*Tableau1[[#This Row],[N(d2)]]</f>
        <v>255.18444845966252</v>
      </c>
      <c r="L343">
        <f>MAX(Tableau1[[#This Row],[P]]-$P$4)-Tableau1[[#This Row],[C]]</f>
        <v>-9.1844484596625193</v>
      </c>
      <c r="M343">
        <f xml:space="preserve"> Tableau1[[#This Row],[C]] - 0.5 * (-50) * (Tableau1[[#This Row],[P]] - $P$4)</f>
        <v>6405.1844484596622</v>
      </c>
    </row>
    <row r="344" spans="2:13" x14ac:dyDescent="0.3">
      <c r="B344">
        <v>342</v>
      </c>
      <c r="C344">
        <f t="shared" si="5"/>
        <v>1.9288153838467381</v>
      </c>
      <c r="D344">
        <f>Tableau1[[#This Row],[d1]]-$R$4*SQRT($O$4)</f>
        <v>1.0288153838467382</v>
      </c>
      <c r="E344">
        <f>NORMSDIST(Tableau1[[#This Row],[d1]])</f>
        <v>0.97312310733728158</v>
      </c>
      <c r="F344">
        <f>NORMSDIST(Tableau1[[#This Row],[d2]])</f>
        <v>0.84821678186224414</v>
      </c>
      <c r="G344">
        <f>Tableau1[[#This Row],[P]]*Tableau1[[#This Row],[N(d1)]]-$P$4*EXP(-$N$4*$O$4)*Tableau1[[#This Row],[N(d2)]]</f>
        <v>256.15747038939662</v>
      </c>
      <c r="L344">
        <f>MAX(Tableau1[[#This Row],[P]]-$P$4)-Tableau1[[#This Row],[C]]</f>
        <v>-9.1574703893966216</v>
      </c>
      <c r="M344">
        <f xml:space="preserve"> Tableau1[[#This Row],[C]] - 0.5 * (-50) * (Tableau1[[#This Row],[P]] - $P$4)</f>
        <v>6431.1574703893966</v>
      </c>
    </row>
    <row r="345" spans="2:13" x14ac:dyDescent="0.3">
      <c r="B345">
        <v>343</v>
      </c>
      <c r="C345">
        <f t="shared" si="5"/>
        <v>1.9320595061837769</v>
      </c>
      <c r="D345">
        <f>Tableau1[[#This Row],[d1]]-$R$4*SQRT($O$4)</f>
        <v>1.032059506183777</v>
      </c>
      <c r="E345">
        <f>NORMSDIST(Tableau1[[#This Row],[d1]])</f>
        <v>0.9733239191921359</v>
      </c>
      <c r="F345">
        <f>NORMSDIST(Tableau1[[#This Row],[d2]])</f>
        <v>0.84897787897074661</v>
      </c>
      <c r="G345">
        <f>Tableau1[[#This Row],[P]]*Tableau1[[#This Row],[N(d1)]]-$P$4*EXP(-$N$4*$O$4)*Tableau1[[#This Row],[N(d2)]]</f>
        <v>257.13069405632052</v>
      </c>
      <c r="L345">
        <f>MAX(Tableau1[[#This Row],[P]]-$P$4)-Tableau1[[#This Row],[C]]</f>
        <v>-9.1306940563205217</v>
      </c>
      <c r="M345">
        <f xml:space="preserve"> Tableau1[[#This Row],[C]] - 0.5 * (-50) * (Tableau1[[#This Row],[P]] - $P$4)</f>
        <v>6457.1306940563209</v>
      </c>
    </row>
    <row r="346" spans="2:13" x14ac:dyDescent="0.3">
      <c r="B346">
        <v>344</v>
      </c>
      <c r="C346">
        <f t="shared" si="5"/>
        <v>1.9352941841920641</v>
      </c>
      <c r="D346">
        <f>Tableau1[[#This Row],[d1]]-$R$4*SQRT($O$4)</f>
        <v>1.0352941841920642</v>
      </c>
      <c r="E346">
        <f>NORMSDIST(Tableau1[[#This Row],[d1]])</f>
        <v>0.97352289719064578</v>
      </c>
      <c r="F346">
        <f>NORMSDIST(Tableau1[[#This Row],[d2]])</f>
        <v>0.84973422747523841</v>
      </c>
      <c r="G346">
        <f>Tableau1[[#This Row],[P]]*Tableau1[[#This Row],[N(d1)]]-$P$4*EXP(-$N$4*$O$4)*Tableau1[[#This Row],[N(d2)]]</f>
        <v>258.10411761649834</v>
      </c>
      <c r="L346">
        <f>MAX(Tableau1[[#This Row],[P]]-$P$4)-Tableau1[[#This Row],[C]]</f>
        <v>-9.1041176164983426</v>
      </c>
      <c r="M346">
        <f xml:space="preserve"> Tableau1[[#This Row],[C]] - 0.5 * (-50) * (Tableau1[[#This Row],[P]] - $P$4)</f>
        <v>6483.1041176164981</v>
      </c>
    </row>
    <row r="347" spans="2:13" x14ac:dyDescent="0.3">
      <c r="B347">
        <v>345</v>
      </c>
      <c r="C347">
        <f t="shared" si="5"/>
        <v>1.9385194727009101</v>
      </c>
      <c r="D347">
        <f>Tableau1[[#This Row],[d1]]-$R$4*SQRT($O$4)</f>
        <v>1.0385194727009099</v>
      </c>
      <c r="E347">
        <f>NORMSDIST(Tableau1[[#This Row],[d1]])</f>
        <v>0.97372006127818955</v>
      </c>
      <c r="F347">
        <f>NORMSDIST(Tableau1[[#This Row],[d2]])</f>
        <v>0.85048586282512251</v>
      </c>
      <c r="G347">
        <f>Tableau1[[#This Row],[P]]*Tableau1[[#This Row],[N(d1)]]-$P$4*EXP(-$N$4*$O$4)*Tableau1[[#This Row],[N(d2)]]</f>
        <v>259.07773924606761</v>
      </c>
      <c r="L347">
        <f>MAX(Tableau1[[#This Row],[P]]-$P$4)-Tableau1[[#This Row],[C]]</f>
        <v>-9.0777392460676083</v>
      </c>
      <c r="M347">
        <f xml:space="preserve"> Tableau1[[#This Row],[C]] - 0.5 * (-50) * (Tableau1[[#This Row],[P]] - $P$4)</f>
        <v>6509.0777392460677</v>
      </c>
    </row>
    <row r="348" spans="2:13" x14ac:dyDescent="0.3">
      <c r="B348">
        <v>346</v>
      </c>
      <c r="C348">
        <f t="shared" si="5"/>
        <v>1.9417354260635373</v>
      </c>
      <c r="D348">
        <f>Tableau1[[#This Row],[d1]]-$R$4*SQRT($O$4)</f>
        <v>1.0417354260635374</v>
      </c>
      <c r="E348">
        <f>NORMSDIST(Tableau1[[#This Row],[d1]])</f>
        <v>0.9739154311472773</v>
      </c>
      <c r="F348">
        <f>NORMSDIST(Tableau1[[#This Row],[d2]])</f>
        <v>0.85123282016515911</v>
      </c>
      <c r="G348">
        <f>Tableau1[[#This Row],[P]]*Tableau1[[#This Row],[N(d1)]]-$P$4*EXP(-$N$4*$O$4)*Tableau1[[#This Row],[N(d2)]]</f>
        <v>260.05155714098464</v>
      </c>
      <c r="L348">
        <f>MAX(Tableau1[[#This Row],[P]]-$P$4)-Tableau1[[#This Row],[C]]</f>
        <v>-9.0515571409846416</v>
      </c>
      <c r="M348">
        <f xml:space="preserve"> Tableau1[[#This Row],[C]] - 0.5 * (-50) * (Tableau1[[#This Row],[P]] - $P$4)</f>
        <v>6535.0515571409851</v>
      </c>
    </row>
    <row r="349" spans="2:13" x14ac:dyDescent="0.3">
      <c r="B349">
        <v>347</v>
      </c>
      <c r="C349">
        <f t="shared" si="5"/>
        <v>1.944942098162576</v>
      </c>
      <c r="D349">
        <f>Tableau1[[#This Row],[d1]]-$R$4*SQRT($O$4)</f>
        <v>1.0449420981625761</v>
      </c>
      <c r="E349">
        <f>NORMSDIST(Tableau1[[#This Row],[d1]])</f>
        <v>0.97410902624122053</v>
      </c>
      <c r="F349">
        <f>NORMSDIST(Tableau1[[#This Row],[d2]])</f>
        <v>0.85197513433834504</v>
      </c>
      <c r="G349">
        <f>Tableau1[[#This Row],[P]]*Tableau1[[#This Row],[N(d1)]]-$P$4*EXP(-$N$4*$O$4)*Tableau1[[#This Row],[N(d2)]]</f>
        <v>261.0255695167732</v>
      </c>
      <c r="L349">
        <f>MAX(Tableau1[[#This Row],[P]]-$P$4)-Tableau1[[#This Row],[C]]</f>
        <v>-9.0255695167732028</v>
      </c>
      <c r="M349">
        <f xml:space="preserve"> Tableau1[[#This Row],[C]] - 0.5 * (-50) * (Tableau1[[#This Row],[P]] - $P$4)</f>
        <v>6561.0255695167734</v>
      </c>
    </row>
    <row r="350" spans="2:13" x14ac:dyDescent="0.3">
      <c r="B350">
        <v>348</v>
      </c>
      <c r="C350">
        <f t="shared" si="5"/>
        <v>1.9481395424154817</v>
      </c>
      <c r="D350">
        <f>Tableau1[[#This Row],[d1]]-$R$4*SQRT($O$4)</f>
        <v>1.0481395424154818</v>
      </c>
      <c r="E350">
        <f>NORMSDIST(Tableau1[[#This Row],[d1]])</f>
        <v>0.97430086575774311</v>
      </c>
      <c r="F350">
        <f>NORMSDIST(Tableau1[[#This Row],[d2]])</f>
        <v>0.85271283988876667</v>
      </c>
      <c r="G350">
        <f>Tableau1[[#This Row],[P]]*Tableau1[[#This Row],[N(d1)]]-$P$4*EXP(-$N$4*$O$4)*Tableau1[[#This Row],[N(d2)]]</f>
        <v>261.99977460827733</v>
      </c>
      <c r="L350">
        <f>MAX(Tableau1[[#This Row],[P]]-$P$4)-Tableau1[[#This Row],[C]]</f>
        <v>-8.9997746082773347</v>
      </c>
      <c r="M350">
        <f xml:space="preserve"> Tableau1[[#This Row],[C]] - 0.5 * (-50) * (Tableau1[[#This Row],[P]] - $P$4)</f>
        <v>6586.9997746082772</v>
      </c>
    </row>
    <row r="351" spans="2:13" x14ac:dyDescent="0.3">
      <c r="B351">
        <v>349</v>
      </c>
      <c r="C351">
        <f t="shared" si="5"/>
        <v>1.9513278117798736</v>
      </c>
      <c r="D351">
        <f>Tableau1[[#This Row],[d1]]-$R$4*SQRT($O$4)</f>
        <v>1.0513278117798737</v>
      </c>
      <c r="E351">
        <f>NORMSDIST(Tableau1[[#This Row],[d1]])</f>
        <v>0.97449096865253204</v>
      </c>
      <c r="F351">
        <f>NORMSDIST(Tableau1[[#This Row],[d2]])</f>
        <v>0.8534459710644251</v>
      </c>
      <c r="G351">
        <f>Tableau1[[#This Row],[P]]*Tableau1[[#This Row],[N(d1)]]-$P$4*EXP(-$N$4*$O$4)*Tableau1[[#This Row],[N(d2)]]</f>
        <v>262.97417066941739</v>
      </c>
      <c r="L351">
        <f>MAX(Tableau1[[#This Row],[P]]-$P$4)-Tableau1[[#This Row],[C]]</f>
        <v>-8.9741706694173899</v>
      </c>
      <c r="M351">
        <f xml:space="preserve"> Tableau1[[#This Row],[C]] - 0.5 * (-50) * (Tableau1[[#This Row],[P]] - $P$4)</f>
        <v>6612.9741706694176</v>
      </c>
    </row>
    <row r="352" spans="2:13" x14ac:dyDescent="0.3">
      <c r="B352">
        <v>350</v>
      </c>
      <c r="C352">
        <f t="shared" si="5"/>
        <v>1.9545069587587982</v>
      </c>
      <c r="D352">
        <f>Tableau1[[#This Row],[d1]]-$R$4*SQRT($O$4)</f>
        <v>1.0545069587587981</v>
      </c>
      <c r="E352">
        <f>NORMSDIST(Tableau1[[#This Row],[d1]])</f>
        <v>0.97467935364273162</v>
      </c>
      <c r="F352">
        <f>NORMSDIST(Tableau1[[#This Row],[d2]])</f>
        <v>0.85417456182003393</v>
      </c>
      <c r="G352">
        <f>Tableau1[[#This Row],[P]]*Tableau1[[#This Row],[N(d1)]]-$P$4*EXP(-$N$4*$O$4)*Tableau1[[#This Row],[N(d2)]]</f>
        <v>263.94875597295015</v>
      </c>
      <c r="L352">
        <f>MAX(Tableau1[[#This Row],[P]]-$P$4)-Tableau1[[#This Row],[C]]</f>
        <v>-8.9487559729501527</v>
      </c>
      <c r="M352">
        <f xml:space="preserve"> Tableau1[[#This Row],[C]] - 0.5 * (-50) * (Tableau1[[#This Row],[P]] - $P$4)</f>
        <v>6638.9487559729505</v>
      </c>
    </row>
    <row r="353" spans="2:13" x14ac:dyDescent="0.3">
      <c r="B353">
        <v>351</v>
      </c>
      <c r="C353">
        <f t="shared" si="5"/>
        <v>1.9576770354059165</v>
      </c>
      <c r="D353">
        <f>Tableau1[[#This Row],[d1]]-$R$4*SQRT($O$4)</f>
        <v>1.0576770354059164</v>
      </c>
      <c r="E353">
        <f>NORMSDIST(Tableau1[[#This Row],[d1]])</f>
        <v>0.97486603921037907</v>
      </c>
      <c r="F353">
        <f>NORMSDIST(Tableau1[[#This Row],[d2]])</f>
        <v>0.85489864581978903</v>
      </c>
      <c r="G353">
        <f>Tableau1[[#This Row],[P]]*Tableau1[[#This Row],[N(d1)]]-$P$4*EXP(-$N$4*$O$4)*Tableau1[[#This Row],[N(d2)]]</f>
        <v>264.92352881023129</v>
      </c>
      <c r="L353">
        <f>MAX(Tableau1[[#This Row],[P]]-$P$4)-Tableau1[[#This Row],[C]]</f>
        <v>-8.9235288102312893</v>
      </c>
      <c r="M353">
        <f xml:space="preserve"> Tableau1[[#This Row],[C]] - 0.5 * (-50) * (Tableau1[[#This Row],[P]] - $P$4)</f>
        <v>6664.9235288102309</v>
      </c>
    </row>
    <row r="354" spans="2:13" x14ac:dyDescent="0.3">
      <c r="B354">
        <v>352</v>
      </c>
      <c r="C354">
        <f t="shared" si="5"/>
        <v>1.960838093330618</v>
      </c>
      <c r="D354">
        <f>Tableau1[[#This Row],[d1]]-$R$4*SQRT($O$4)</f>
        <v>1.0608380933306178</v>
      </c>
      <c r="E354">
        <f>NORMSDIST(Tableau1[[#This Row],[d1]])</f>
        <v>0.97505104360578609</v>
      </c>
      <c r="F354">
        <f>NORMSDIST(Tableau1[[#This Row],[d2]])</f>
        <v>0.8556182564401118</v>
      </c>
      <c r="G354">
        <f>Tableau1[[#This Row],[P]]*Tableau1[[#This Row],[N(d1)]]-$P$4*EXP(-$N$4*$O$4)*Tableau1[[#This Row],[N(d2)]]</f>
        <v>265.89848749098269</v>
      </c>
      <c r="L354">
        <f>MAX(Tableau1[[#This Row],[P]]-$P$4)-Tableau1[[#This Row],[C]]</f>
        <v>-8.8984874909826885</v>
      </c>
      <c r="M354">
        <f xml:space="preserve"> Tableau1[[#This Row],[C]] - 0.5 * (-50) * (Tableau1[[#This Row],[P]] - $P$4)</f>
        <v>6690.8984874909829</v>
      </c>
    </row>
    <row r="355" spans="2:13" x14ac:dyDescent="0.3">
      <c r="B355">
        <v>353</v>
      </c>
      <c r="C355">
        <f t="shared" si="5"/>
        <v>1.9639901837030622</v>
      </c>
      <c r="D355">
        <f>Tableau1[[#This Row],[d1]]-$R$4*SQRT($O$4)</f>
        <v>1.0639901837030621</v>
      </c>
      <c r="E355">
        <f>NORMSDIST(Tableau1[[#This Row],[d1]])</f>
        <v>0.97523438485086444</v>
      </c>
      <c r="F355">
        <f>NORMSDIST(Tableau1[[#This Row],[d2]])</f>
        <v>0.85633342677236668</v>
      </c>
      <c r="G355">
        <f>Tableau1[[#This Row],[P]]*Tableau1[[#This Row],[N(d1)]]-$P$4*EXP(-$N$4*$O$4)*Tableau1[[#This Row],[N(d2)]]</f>
        <v>266.8736303430619</v>
      </c>
      <c r="L355">
        <f>MAX(Tableau1[[#This Row],[P]]-$P$4)-Tableau1[[#This Row],[C]]</f>
        <v>-8.8736303430619046</v>
      </c>
      <c r="M355">
        <f xml:space="preserve"> Tableau1[[#This Row],[C]] - 0.5 * (-50) * (Tableau1[[#This Row],[P]] - $P$4)</f>
        <v>6716.8736303430614</v>
      </c>
    </row>
    <row r="356" spans="2:13" x14ac:dyDescent="0.3">
      <c r="B356">
        <v>354</v>
      </c>
      <c r="C356">
        <f t="shared" si="5"/>
        <v>1.9671333572591485</v>
      </c>
      <c r="D356">
        <f>Tableau1[[#This Row],[d1]]-$R$4*SQRT($O$4)</f>
        <v>1.0671333572591486</v>
      </c>
      <c r="E356">
        <f>NORMSDIST(Tableau1[[#This Row],[d1]])</f>
        <v>0.97541608074239827</v>
      </c>
      <c r="F356">
        <f>NORMSDIST(Tableau1[[#This Row],[d2]])</f>
        <v>0.85704418962555018</v>
      </c>
      <c r="G356">
        <f>Tableau1[[#This Row],[P]]*Tableau1[[#This Row],[N(d1)]]-$P$4*EXP(-$N$4*$O$4)*Tableau1[[#This Row],[N(d2)]]</f>
        <v>267.84895571223569</v>
      </c>
      <c r="L356">
        <f>MAX(Tableau1[[#This Row],[P]]-$P$4)-Tableau1[[#This Row],[C]]</f>
        <v>-8.8489557122356928</v>
      </c>
      <c r="M356">
        <f xml:space="preserve"> Tableau1[[#This Row],[C]] - 0.5 * (-50) * (Tableau1[[#This Row],[P]] - $P$4)</f>
        <v>6742.8489557122357</v>
      </c>
    </row>
    <row r="357" spans="2:13" x14ac:dyDescent="0.3">
      <c r="B357">
        <v>355</v>
      </c>
      <c r="C357">
        <f t="shared" si="5"/>
        <v>1.9702676643054167</v>
      </c>
      <c r="D357">
        <f>Tableau1[[#This Row],[d1]]-$R$4*SQRT($O$4)</f>
        <v>1.0702676643054168</v>
      </c>
      <c r="E357">
        <f>NORMSDIST(Tableau1[[#This Row],[d1]])</f>
        <v>0.97559614885526313</v>
      </c>
      <c r="F357">
        <f>NORMSDIST(Tableau1[[#This Row],[d2]])</f>
        <v>0.85775057752895489</v>
      </c>
      <c r="G357">
        <f>Tableau1[[#This Row],[P]]*Tableau1[[#This Row],[N(d1)]]-$P$4*EXP(-$N$4*$O$4)*Tableau1[[#This Row],[N(d2)]]</f>
        <v>268.82446196195622</v>
      </c>
      <c r="L357">
        <f>MAX(Tableau1[[#This Row],[P]]-$P$4)-Tableau1[[#This Row],[C]]</f>
        <v>-8.8244619619562172</v>
      </c>
      <c r="M357">
        <f xml:space="preserve"> Tableau1[[#This Row],[C]] - 0.5 * (-50) * (Tableau1[[#This Row],[P]] - $P$4)</f>
        <v>6768.8244619619563</v>
      </c>
    </row>
    <row r="358" spans="2:13" x14ac:dyDescent="0.3">
      <c r="B358">
        <v>356</v>
      </c>
      <c r="C358">
        <f t="shared" si="5"/>
        <v>1.9733931547238774</v>
      </c>
      <c r="D358">
        <f>Tableau1[[#This Row],[d1]]-$R$4*SQRT($O$4)</f>
        <v>1.0733931547238775</v>
      </c>
      <c r="E358">
        <f>NORMSDIST(Tableau1[[#This Row],[d1]])</f>
        <v>0.97577460654559345</v>
      </c>
      <c r="F358">
        <f>NORMSDIST(Tableau1[[#This Row],[d2]])</f>
        <v>0.85845262273480782</v>
      </c>
      <c r="G358">
        <f>Tableau1[[#This Row],[P]]*Tableau1[[#This Row],[N(d1)]]-$P$4*EXP(-$N$4*$O$4)*Tableau1[[#This Row],[N(d2)]]</f>
        <v>269.80014747314107</v>
      </c>
      <c r="L358">
        <f>MAX(Tableau1[[#This Row],[P]]-$P$4)-Tableau1[[#This Row],[C]]</f>
        <v>-8.8001474731410667</v>
      </c>
      <c r="M358">
        <f xml:space="preserve"> Tableau1[[#This Row],[C]] - 0.5 * (-50) * (Tableau1[[#This Row],[P]] - $P$4)</f>
        <v>6794.8001474731409</v>
      </c>
    </row>
    <row r="359" spans="2:13" x14ac:dyDescent="0.3">
      <c r="B359">
        <v>357</v>
      </c>
      <c r="C359">
        <f t="shared" si="5"/>
        <v>1.9765098779767758</v>
      </c>
      <c r="D359">
        <f>Tableau1[[#This Row],[d1]]-$R$4*SQRT($O$4)</f>
        <v>1.0765098779767759</v>
      </c>
      <c r="E359">
        <f>NORMSDIST(Tableau1[[#This Row],[d1]])</f>
        <v>0.975951470953899</v>
      </c>
      <c r="F359">
        <f>NORMSDIST(Tableau1[[#This Row],[d2]])</f>
        <v>0.85915035722088129</v>
      </c>
      <c r="G359">
        <f>Tableau1[[#This Row],[P]]*Tableau1[[#This Row],[N(d1)]]-$P$4*EXP(-$N$4*$O$4)*Tableau1[[#This Row],[N(d2)]]</f>
        <v>270.77601064395577</v>
      </c>
      <c r="L359">
        <f>MAX(Tableau1[[#This Row],[P]]-$P$4)-Tableau1[[#This Row],[C]]</f>
        <v>-8.7760106439557717</v>
      </c>
      <c r="M359">
        <f xml:space="preserve"> Tableau1[[#This Row],[C]] - 0.5 * (-50) * (Tableau1[[#This Row],[P]] - $P$4)</f>
        <v>6820.7760106439555</v>
      </c>
    </row>
    <row r="360" spans="2:13" x14ac:dyDescent="0.3">
      <c r="B360">
        <v>358</v>
      </c>
      <c r="C360">
        <f t="shared" si="5"/>
        <v>1.9796178831112885</v>
      </c>
      <c r="D360">
        <f>Tableau1[[#This Row],[d1]]-$R$4*SQRT($O$4)</f>
        <v>1.0796178831112884</v>
      </c>
      <c r="E360">
        <f>NORMSDIST(Tableau1[[#This Row],[d1]])</f>
        <v>0.97612675900813128</v>
      </c>
      <c r="F360">
        <f>NORMSDIST(Tableau1[[#This Row],[d2]])</f>
        <v>0.85984381269308008</v>
      </c>
      <c r="G360">
        <f>Tableau1[[#This Row],[P]]*Tableau1[[#This Row],[N(d1)]]-$P$4*EXP(-$N$4*$O$4)*Tableau1[[#This Row],[N(d2)]]</f>
        <v>271.75204988959985</v>
      </c>
      <c r="L360">
        <f>MAX(Tableau1[[#This Row],[P]]-$P$4)-Tableau1[[#This Row],[C]]</f>
        <v>-8.7520498895998458</v>
      </c>
      <c r="M360">
        <f xml:space="preserve"> Tableau1[[#This Row],[C]] - 0.5 * (-50) * (Tableau1[[#This Row],[P]] - $P$4)</f>
        <v>6846.7520498896001</v>
      </c>
    </row>
    <row r="361" spans="2:13" x14ac:dyDescent="0.3">
      <c r="B361">
        <v>359</v>
      </c>
      <c r="C361">
        <f t="shared" si="5"/>
        <v>1.9827172187641535</v>
      </c>
      <c r="D361">
        <f>Tableau1[[#This Row],[d1]]-$R$4*SQRT($O$4)</f>
        <v>1.0827172187641536</v>
      </c>
      <c r="E361">
        <f>NORMSDIST(Tableau1[[#This Row],[d1]])</f>
        <v>0.97630048742670039</v>
      </c>
      <c r="F361">
        <f>NORMSDIST(Tableau1[[#This Row],[d2]])</f>
        <v>0.86053302058800163</v>
      </c>
      <c r="G361">
        <f>Tableau1[[#This Row],[P]]*Tableau1[[#This Row],[N(d1)]]-$P$4*EXP(-$N$4*$O$4)*Tableau1[[#This Row],[N(d2)]]</f>
        <v>272.72826364209578</v>
      </c>
      <c r="L361">
        <f>MAX(Tableau1[[#This Row],[P]]-$P$4)-Tableau1[[#This Row],[C]]</f>
        <v>-8.7282636420957829</v>
      </c>
      <c r="M361">
        <f xml:space="preserve"> Tableau1[[#This Row],[C]] - 0.5 * (-50) * (Tableau1[[#This Row],[P]] - $P$4)</f>
        <v>6872.728263642096</v>
      </c>
    </row>
    <row r="362" spans="2:13" x14ac:dyDescent="0.3">
      <c r="B362">
        <v>360</v>
      </c>
      <c r="C362">
        <f t="shared" si="5"/>
        <v>1.9858079331662388</v>
      </c>
      <c r="D362">
        <f>Tableau1[[#This Row],[d1]]-$R$4*SQRT($O$4)</f>
        <v>1.0858079331662389</v>
      </c>
      <c r="E362">
        <f>NORMSDIST(Tableau1[[#This Row],[d1]])</f>
        <v>0.97647267272144411</v>
      </c>
      <c r="F362">
        <f>NORMSDIST(Tableau1[[#This Row],[d2]])</f>
        <v>0.86121801207547166</v>
      </c>
      <c r="G362">
        <f>Tableau1[[#This Row],[P]]*Tableau1[[#This Row],[N(d1)]]-$P$4*EXP(-$N$4*$O$4)*Tableau1[[#This Row],[N(d2)]]</f>
        <v>273.7046503500809</v>
      </c>
      <c r="L362">
        <f>MAX(Tableau1[[#This Row],[P]]-$P$4)-Tableau1[[#This Row],[C]]</f>
        <v>-8.7046503500808967</v>
      </c>
      <c r="M362">
        <f xml:space="preserve"> Tableau1[[#This Row],[C]] - 0.5 * (-50) * (Tableau1[[#This Row],[P]] - $P$4)</f>
        <v>6898.7046503500806</v>
      </c>
    </row>
    <row r="363" spans="2:13" x14ac:dyDescent="0.3">
      <c r="B363">
        <v>361</v>
      </c>
      <c r="C363">
        <f t="shared" si="5"/>
        <v>1.9888900741470446</v>
      </c>
      <c r="D363">
        <f>Tableau1[[#This Row],[d1]]-$R$4*SQRT($O$4)</f>
        <v>1.0888900741470446</v>
      </c>
      <c r="E363">
        <f>NORMSDIST(Tableau1[[#This Row],[d1]])</f>
        <v>0.97664333120054958</v>
      </c>
      <c r="F363">
        <f>NORMSDIST(Tableau1[[#This Row],[d2]])</f>
        <v>0.86189881806105562</v>
      </c>
      <c r="G363">
        <f>Tableau1[[#This Row],[P]]*Tableau1[[#This Row],[N(d1)]]-$P$4*EXP(-$N$4*$O$4)*Tableau1[[#This Row],[N(d2)]]</f>
        <v>274.68120847860234</v>
      </c>
      <c r="L363">
        <f>MAX(Tableau1[[#This Row],[P]]-$P$4)-Tableau1[[#This Row],[C]]</f>
        <v>-8.6812084786023433</v>
      </c>
      <c r="M363">
        <f xml:space="preserve"> Tableau1[[#This Row],[C]] - 0.5 * (-50) * (Tableau1[[#This Row],[P]] - $P$4)</f>
        <v>6924.6812084786025</v>
      </c>
    </row>
    <row r="364" spans="2:13" x14ac:dyDescent="0.3">
      <c r="B364">
        <v>362</v>
      </c>
      <c r="C364">
        <f t="shared" si="5"/>
        <v>1.9919636891391448</v>
      </c>
      <c r="D364">
        <f>Tableau1[[#This Row],[d1]]-$R$4*SQRT($O$4)</f>
        <v>1.0919636891391447</v>
      </c>
      <c r="E364">
        <f>NORMSDIST(Tableau1[[#This Row],[d1]])</f>
        <v>0.97681247897142742</v>
      </c>
      <c r="F364">
        <f>NORMSDIST(Tableau1[[#This Row],[d2]])</f>
        <v>0.862575469188544</v>
      </c>
      <c r="G364">
        <f>Tableau1[[#This Row],[P]]*Tableau1[[#This Row],[N(d1)]]-$P$4*EXP(-$N$4*$O$4)*Tableau1[[#This Row],[N(d2)]]</f>
        <v>275.65793650891482</v>
      </c>
      <c r="L364">
        <f>MAX(Tableau1[[#This Row],[P]]-$P$4)-Tableau1[[#This Row],[C]]</f>
        <v>-8.6579365089148155</v>
      </c>
      <c r="M364">
        <f xml:space="preserve"> Tableau1[[#This Row],[C]] - 0.5 * (-50) * (Tableau1[[#This Row],[P]] - $P$4)</f>
        <v>6950.6579365089146</v>
      </c>
    </row>
    <row r="365" spans="2:13" x14ac:dyDescent="0.3">
      <c r="B365">
        <v>363</v>
      </c>
      <c r="C365">
        <f t="shared" si="5"/>
        <v>1.9950288251825665</v>
      </c>
      <c r="D365">
        <f>Tableau1[[#This Row],[d1]]-$R$4*SQRT($O$4)</f>
        <v>1.0950288251825664</v>
      </c>
      <c r="E365">
        <f>NORMSDIST(Tableau1[[#This Row],[d1]])</f>
        <v>0.97698013194354194</v>
      </c>
      <c r="F365">
        <f>NORMSDIST(Tableau1[[#This Row],[d2]])</f>
        <v>0.8632479958424143</v>
      </c>
      <c r="G365">
        <f>Tableau1[[#This Row],[P]]*Tableau1[[#This Row],[N(d1)]]-$P$4*EXP(-$N$4*$O$4)*Tableau1[[#This Row],[N(d2)]]</f>
        <v>276.63483293828119</v>
      </c>
      <c r="L365">
        <f>MAX(Tableau1[[#This Row],[P]]-$P$4)-Tableau1[[#This Row],[C]]</f>
        <v>-8.6348329382811926</v>
      </c>
      <c r="M365">
        <f xml:space="preserve"> Tableau1[[#This Row],[C]] - 0.5 * (-50) * (Tableau1[[#This Row],[P]] - $P$4)</f>
        <v>6976.6348329382809</v>
      </c>
    </row>
    <row r="366" spans="2:13" x14ac:dyDescent="0.3">
      <c r="B366">
        <v>364</v>
      </c>
      <c r="C366">
        <f t="shared" si="5"/>
        <v>1.9980855289291108</v>
      </c>
      <c r="D366">
        <f>Tableau1[[#This Row],[d1]]-$R$4*SQRT($O$4)</f>
        <v>1.0980855289291109</v>
      </c>
      <c r="E366">
        <f>NORMSDIST(Tableau1[[#This Row],[d1]])</f>
        <v>0.977146305831194</v>
      </c>
      <c r="F366">
        <f>NORMSDIST(Tableau1[[#This Row],[d2]])</f>
        <v>0.86391642815026837</v>
      </c>
      <c r="G366">
        <f>Tableau1[[#This Row],[P]]*Tableau1[[#This Row],[N(d1)]]-$P$4*EXP(-$N$4*$O$4)*Tableau1[[#This Row],[N(d2)]]</f>
        <v>277.61189627977581</v>
      </c>
      <c r="L366">
        <f>MAX(Tableau1[[#This Row],[P]]-$P$4)-Tableau1[[#This Row],[C]]</f>
        <v>-8.6118962797758059</v>
      </c>
      <c r="M366">
        <f xml:space="preserve"> Tableau1[[#This Row],[C]] - 0.5 * (-50) * (Tableau1[[#This Row],[P]] - $P$4)</f>
        <v>7002.6118962797755</v>
      </c>
    </row>
    <row r="367" spans="2:13" x14ac:dyDescent="0.3">
      <c r="B367">
        <v>365</v>
      </c>
      <c r="C367">
        <f t="shared" si="5"/>
        <v>2.0011338466466118</v>
      </c>
      <c r="D367">
        <f>Tableau1[[#This Row],[d1]]-$R$4*SQRT($O$4)</f>
        <v>1.1011338466466118</v>
      </c>
      <c r="E367">
        <f>NORMSDIST(Tableau1[[#This Row],[d1]])</f>
        <v>0.97731101615626226</v>
      </c>
      <c r="F367">
        <f>NORMSDIST(Tableau1[[#This Row],[d2]])</f>
        <v>0.86458079598524484</v>
      </c>
      <c r="G367">
        <f>Tableau1[[#This Row],[P]]*Tableau1[[#This Row],[N(d1)]]-$P$4*EXP(-$N$4*$O$4)*Tableau1[[#This Row],[N(d2)]]</f>
        <v>278.5891250620914</v>
      </c>
      <c r="L367">
        <f>MAX(Tableau1[[#This Row],[P]]-$P$4)-Tableau1[[#This Row],[C]]</f>
        <v>-8.5891250620913979</v>
      </c>
      <c r="M367">
        <f xml:space="preserve"> Tableau1[[#This Row],[C]] - 0.5 * (-50) * (Tableau1[[#This Row],[P]] - $P$4)</f>
        <v>7028.5891250620916</v>
      </c>
    </row>
    <row r="368" spans="2:13" x14ac:dyDescent="0.3">
      <c r="B368">
        <v>366</v>
      </c>
      <c r="C368">
        <f t="shared" si="5"/>
        <v>2.0041738242231393</v>
      </c>
      <c r="D368">
        <f>Tableau1[[#This Row],[d1]]-$R$4*SQRT($O$4)</f>
        <v>1.1041738242231394</v>
      </c>
      <c r="E368">
        <f>NORMSDIST(Tableau1[[#This Row],[d1]])</f>
        <v>0.97747427825089894</v>
      </c>
      <c r="F368">
        <f>NORMSDIST(Tableau1[[#This Row],[d2]])</f>
        <v>0.86524112896840988</v>
      </c>
      <c r="G368">
        <f>Tableau1[[#This Row],[P]]*Tableau1[[#This Row],[N(d1)]]-$P$4*EXP(-$N$4*$O$4)*Tableau1[[#This Row],[N(d2)]]</f>
        <v>279.56651782934699</v>
      </c>
      <c r="L368">
        <f>MAX(Tableau1[[#This Row],[P]]-$P$4)-Tableau1[[#This Row],[C]]</f>
        <v>-8.5665178293469921</v>
      </c>
      <c r="M368">
        <f xml:space="preserve"> Tableau1[[#This Row],[C]] - 0.5 * (-50) * (Tableau1[[#This Row],[P]] - $P$4)</f>
        <v>7054.5665178293466</v>
      </c>
    </row>
    <row r="369" spans="2:13" x14ac:dyDescent="0.3">
      <c r="B369">
        <v>367</v>
      </c>
      <c r="C369">
        <f t="shared" si="5"/>
        <v>2.0072055071711437</v>
      </c>
      <c r="D369">
        <f>Tableau1[[#This Row],[d1]]-$R$4*SQRT($O$4)</f>
        <v>1.1072055071711437</v>
      </c>
      <c r="E369">
        <f>NORMSDIST(Tableau1[[#This Row],[d1]])</f>
        <v>0.97763610726018413</v>
      </c>
      <c r="F369">
        <f>NORMSDIST(Tableau1[[#This Row],[d2]])</f>
        <v>0.86589745647112171</v>
      </c>
      <c r="G369">
        <f>Tableau1[[#This Row],[P]]*Tableau1[[#This Row],[N(d1)]]-$P$4*EXP(-$N$4*$O$4)*Tableau1[[#This Row],[N(d2)]]</f>
        <v>280.5440731409002</v>
      </c>
      <c r="L369">
        <f>MAX(Tableau1[[#This Row],[P]]-$P$4)-Tableau1[[#This Row],[C]]</f>
        <v>-8.5440731409001955</v>
      </c>
      <c r="M369">
        <f xml:space="preserve"> Tableau1[[#This Row],[C]] - 0.5 * (-50) * (Tableau1[[#This Row],[P]] - $P$4)</f>
        <v>7080.5440731408999</v>
      </c>
    </row>
    <row r="370" spans="2:13" x14ac:dyDescent="0.3">
      <c r="B370">
        <v>368</v>
      </c>
      <c r="C370">
        <f t="shared" si="5"/>
        <v>2.0102289406315443</v>
      </c>
      <c r="D370">
        <f>Tableau1[[#This Row],[d1]]-$R$4*SQRT($O$4)</f>
        <v>1.1102289406315444</v>
      </c>
      <c r="E370">
        <f>NORMSDIST(Tableau1[[#This Row],[d1]])</f>
        <v>0.97779651814473811</v>
      </c>
      <c r="F370">
        <f>NORMSDIST(Tableau1[[#This Row],[d2]])</f>
        <v>0.86654980761737388</v>
      </c>
      <c r="G370">
        <f>Tableau1[[#This Row],[P]]*Tableau1[[#This Row],[N(d1)]]-$P$4*EXP(-$N$4*$O$4)*Tableau1[[#This Row],[N(d2)]]</f>
        <v>281.52178957116115</v>
      </c>
      <c r="L370">
        <f>MAX(Tableau1[[#This Row],[P]]-$P$4)-Tableau1[[#This Row],[C]]</f>
        <v>-8.5217895711611504</v>
      </c>
      <c r="M370">
        <f xml:space="preserve"> Tableau1[[#This Row],[C]] - 0.5 * (-50) * (Tableau1[[#This Row],[P]] - $P$4)</f>
        <v>7106.5217895711612</v>
      </c>
    </row>
    <row r="371" spans="2:13" x14ac:dyDescent="0.3">
      <c r="B371">
        <v>369</v>
      </c>
      <c r="C371">
        <f t="shared" si="5"/>
        <v>2.0132441693777627</v>
      </c>
      <c r="D371">
        <f>Tableau1[[#This Row],[d1]]-$R$4*SQRT($O$4)</f>
        <v>1.1132441693777628</v>
      </c>
      <c r="E371">
        <f>NORMSDIST(Tableau1[[#This Row],[d1]])</f>
        <v>0.97795552568329225</v>
      </c>
      <c r="F371">
        <f>NORMSDIST(Tableau1[[#This Row],[d2]])</f>
        <v>0.8671982112861143</v>
      </c>
      <c r="G371">
        <f>Tableau1[[#This Row],[P]]*Tableau1[[#This Row],[N(d1)]]-$P$4*EXP(-$N$4*$O$4)*Tableau1[[#This Row],[N(d2)]]</f>
        <v>282.49966570940967</v>
      </c>
      <c r="L371">
        <f>MAX(Tableau1[[#This Row],[P]]-$P$4)-Tableau1[[#This Row],[C]]</f>
        <v>-8.499665709409669</v>
      </c>
      <c r="M371">
        <f xml:space="preserve"> Tableau1[[#This Row],[C]] - 0.5 * (-50) * (Tableau1[[#This Row],[P]] - $P$4)</f>
        <v>7132.4996657094098</v>
      </c>
    </row>
    <row r="372" spans="2:13" x14ac:dyDescent="0.3">
      <c r="B372">
        <v>370</v>
      </c>
      <c r="C372">
        <f t="shared" si="5"/>
        <v>2.0162512378196991</v>
      </c>
      <c r="D372">
        <f>Tableau1[[#This Row],[d1]]-$R$4*SQRT($O$4)</f>
        <v>1.1162512378196991</v>
      </c>
      <c r="E372">
        <f>NORMSDIST(Tableau1[[#This Row],[d1]])</f>
        <v>0.97811314447521924</v>
      </c>
      <c r="F372">
        <f>NORMSDIST(Tableau1[[#This Row],[d2]])</f>
        <v>0.86784269611354081</v>
      </c>
      <c r="G372">
        <f>Tableau1[[#This Row],[P]]*Tableau1[[#This Row],[N(d1)]]-$P$4*EXP(-$N$4*$O$4)*Tableau1[[#This Row],[N(d2)]]</f>
        <v>283.47770015961413</v>
      </c>
      <c r="L372">
        <f>MAX(Tableau1[[#This Row],[P]]-$P$4)-Tableau1[[#This Row],[C]]</f>
        <v>-8.4777001596141304</v>
      </c>
      <c r="M372">
        <f xml:space="preserve"> Tableau1[[#This Row],[C]] - 0.5 * (-50) * (Tableau1[[#This Row],[P]] - $P$4)</f>
        <v>7158.477700159614</v>
      </c>
    </row>
    <row r="373" spans="2:13" x14ac:dyDescent="0.3">
      <c r="B373">
        <v>371</v>
      </c>
      <c r="C373">
        <f t="shared" si="5"/>
        <v>2.0192501900076607</v>
      </c>
      <c r="D373">
        <f>Tableau1[[#This Row],[d1]]-$R$4*SQRT($O$4)</f>
        <v>1.1192501900076608</v>
      </c>
      <c r="E373">
        <f>NORMSDIST(Tableau1[[#This Row],[d1]])</f>
        <v>0.97826938894302495</v>
      </c>
      <c r="F373">
        <f>NORMSDIST(Tableau1[[#This Row],[d2]])</f>
        <v>0.86848329049537643</v>
      </c>
      <c r="G373">
        <f>Tableau1[[#This Row],[P]]*Tableau1[[#This Row],[N(d1)]]-$P$4*EXP(-$N$4*$O$4)*Tableau1[[#This Row],[N(d2)]]</f>
        <v>284.45589154025396</v>
      </c>
      <c r="L373">
        <f>MAX(Tableau1[[#This Row],[P]]-$P$4)-Tableau1[[#This Row],[C]]</f>
        <v>-8.4558915402539583</v>
      </c>
      <c r="M373">
        <f xml:space="preserve"> Tableau1[[#This Row],[C]] - 0.5 * (-50) * (Tableau1[[#This Row],[P]] - $P$4)</f>
        <v>7184.455891540254</v>
      </c>
    </row>
    <row r="374" spans="2:13" x14ac:dyDescent="0.3">
      <c r="B374">
        <v>372</v>
      </c>
      <c r="C374">
        <f t="shared" si="5"/>
        <v>2.022241069636229</v>
      </c>
      <c r="D374">
        <f>Tableau1[[#This Row],[d1]]-$R$4*SQRT($O$4)</f>
        <v>1.122241069636229</v>
      </c>
      <c r="E374">
        <f>NORMSDIST(Tableau1[[#This Row],[d1]])</f>
        <v>0.97842427333479953</v>
      </c>
      <c r="F374">
        <f>NORMSDIST(Tableau1[[#This Row],[d2]])</f>
        <v>0.86912002258911825</v>
      </c>
      <c r="G374">
        <f>Tableau1[[#This Row],[P]]*Tableau1[[#This Row],[N(d1)]]-$P$4*EXP(-$N$4*$O$4)*Tableau1[[#This Row],[N(d2)]]</f>
        <v>285.43423848414341</v>
      </c>
      <c r="L374">
        <f>MAX(Tableau1[[#This Row],[P]]-$P$4)-Tableau1[[#This Row],[C]]</f>
        <v>-8.4342384841434068</v>
      </c>
      <c r="M374">
        <f xml:space="preserve"> Tableau1[[#This Row],[C]] - 0.5 * (-50) * (Tableau1[[#This Row],[P]] - $P$4)</f>
        <v>7210.4342384841439</v>
      </c>
    </row>
    <row r="375" spans="2:13" x14ac:dyDescent="0.3">
      <c r="B375">
        <v>373</v>
      </c>
      <c r="C375">
        <f t="shared" si="5"/>
        <v>2.025223920048083</v>
      </c>
      <c r="D375">
        <f>Tableau1[[#This Row],[d1]]-$R$4*SQRT($O$4)</f>
        <v>1.1252239200480831</v>
      </c>
      <c r="E375">
        <f>NORMSDIST(Tableau1[[#This Row],[d1]])</f>
        <v>0.97857781172663105</v>
      </c>
      <c r="F375">
        <f>NORMSDIST(Tableau1[[#This Row],[d2]])</f>
        <v>0.86975292031626794</v>
      </c>
      <c r="G375">
        <f>Tableau1[[#This Row],[P]]*Tableau1[[#This Row],[N(d1)]]-$P$4*EXP(-$N$4*$O$4)*Tableau1[[#This Row],[N(d2)]]</f>
        <v>286.41273963825876</v>
      </c>
      <c r="L375">
        <f>MAX(Tableau1[[#This Row],[P]]-$P$4)-Tableau1[[#This Row],[C]]</f>
        <v>-8.4127396382587563</v>
      </c>
      <c r="M375">
        <f xml:space="preserve"> Tableau1[[#This Row],[C]] - 0.5 * (-50) * (Tableau1[[#This Row],[P]] - $P$4)</f>
        <v>7236.4127396382592</v>
      </c>
    </row>
    <row r="376" spans="2:13" x14ac:dyDescent="0.3">
      <c r="B376">
        <v>374</v>
      </c>
      <c r="C376">
        <f t="shared" si="5"/>
        <v>2.0281987842377678</v>
      </c>
      <c r="D376">
        <f>Tableau1[[#This Row],[d1]]-$R$4*SQRT($O$4)</f>
        <v>1.1281987842377679</v>
      </c>
      <c r="E376">
        <f>NORMSDIST(Tableau1[[#This Row],[d1]])</f>
        <v>0.97873001802498227</v>
      </c>
      <c r="F376">
        <f>NORMSDIST(Tableau1[[#This Row],[d2]])</f>
        <v>0.87038201136453752</v>
      </c>
      <c r="G376">
        <f>Tableau1[[#This Row],[P]]*Tableau1[[#This Row],[N(d1)]]-$P$4*EXP(-$N$4*$O$4)*Tableau1[[#This Row],[N(d2)]]</f>
        <v>287.39139366356738</v>
      </c>
      <c r="L376">
        <f>MAX(Tableau1[[#This Row],[P]]-$P$4)-Tableau1[[#This Row],[C]]</f>
        <v>-8.3913936635673849</v>
      </c>
      <c r="M376">
        <f xml:space="preserve"> Tableau1[[#This Row],[C]] - 0.5 * (-50) * (Tableau1[[#This Row],[P]] - $P$4)</f>
        <v>7262.3913936635672</v>
      </c>
    </row>
    <row r="377" spans="2:13" x14ac:dyDescent="0.3">
      <c r="B377">
        <v>375</v>
      </c>
      <c r="C377">
        <f t="shared" si="5"/>
        <v>2.031165704855411</v>
      </c>
      <c r="D377">
        <f>Tableau1[[#This Row],[d1]]-$R$4*SQRT($O$4)</f>
        <v>1.1311657048554111</v>
      </c>
      <c r="E377">
        <f>NORMSDIST(Tableau1[[#This Row],[d1]])</f>
        <v>0.97888090596902855</v>
      </c>
      <c r="F377">
        <f>NORMSDIST(Tableau1[[#This Row],[d2]])</f>
        <v>0.87100732319003416</v>
      </c>
      <c r="G377">
        <f>Tableau1[[#This Row],[P]]*Tableau1[[#This Row],[N(d1)]]-$P$4*EXP(-$N$4*$O$4)*Tableau1[[#This Row],[N(d2)]]</f>
        <v>288.37019923485917</v>
      </c>
      <c r="L377">
        <f>MAX(Tableau1[[#This Row],[P]]-$P$4)-Tableau1[[#This Row],[C]]</f>
        <v>-8.3701992348591716</v>
      </c>
      <c r="M377">
        <f xml:space="preserve"> Tableau1[[#This Row],[C]] - 0.5 * (-50) * (Tableau1[[#This Row],[P]] - $P$4)</f>
        <v>7288.3701992348588</v>
      </c>
    </row>
    <row r="378" spans="2:13" x14ac:dyDescent="0.3">
      <c r="B378">
        <v>376</v>
      </c>
      <c r="C378">
        <f t="shared" si="5"/>
        <v>2.0341247242103928</v>
      </c>
      <c r="D378">
        <f>Tableau1[[#This Row],[d1]]-$R$4*SQRT($O$4)</f>
        <v>1.1341247242103929</v>
      </c>
      <c r="E378">
        <f>NORMSDIST(Tableau1[[#This Row],[d1]])</f>
        <v>0.97903048913296098</v>
      </c>
      <c r="F378">
        <f>NORMSDIST(Tableau1[[#This Row],[d2]])</f>
        <v>0.87162888301942332</v>
      </c>
      <c r="G378">
        <f>Tableau1[[#This Row],[P]]*Tableau1[[#This Row],[N(d1)]]-$P$4*EXP(-$N$4*$O$4)*Tableau1[[#This Row],[N(d2)]]</f>
        <v>289.34915504058051</v>
      </c>
      <c r="L378">
        <f>MAX(Tableau1[[#This Row],[P]]-$P$4)-Tableau1[[#This Row],[C]]</f>
        <v>-8.3491550405805128</v>
      </c>
      <c r="M378">
        <f xml:space="preserve"> Tableau1[[#This Row],[C]] - 0.5 * (-50) * (Tableau1[[#This Row],[P]] - $P$4)</f>
        <v>7314.3491550405806</v>
      </c>
    </row>
    <row r="379" spans="2:13" x14ac:dyDescent="0.3">
      <c r="B379">
        <v>377</v>
      </c>
      <c r="C379">
        <f t="shared" si="5"/>
        <v>2.0370758842749668</v>
      </c>
      <c r="D379">
        <f>Tableau1[[#This Row],[d1]]-$R$4*SQRT($O$4)</f>
        <v>1.1370758842749669</v>
      </c>
      <c r="E379">
        <f>NORMSDIST(Tableau1[[#This Row],[d1]])</f>
        <v>0.97917878092825339</v>
      </c>
      <c r="F379">
        <f>NORMSDIST(Tableau1[[#This Row],[d2]])</f>
        <v>0.87224671785207053</v>
      </c>
      <c r="G379">
        <f>Tableau1[[#This Row],[P]]*Tableau1[[#This Row],[N(d1)]]-$P$4*EXP(-$N$4*$O$4)*Tableau1[[#This Row],[N(d2)]]</f>
        <v>290.32825978267067</v>
      </c>
      <c r="L379">
        <f>MAX(Tableau1[[#This Row],[P]]-$P$4)-Tableau1[[#This Row],[C]]</f>
        <v>-8.3282597826706706</v>
      </c>
      <c r="M379">
        <f xml:space="preserve"> Tableau1[[#This Row],[C]] - 0.5 * (-50) * (Tableau1[[#This Row],[P]] - $P$4)</f>
        <v>7340.328259782671</v>
      </c>
    </row>
    <row r="380" spans="2:13" x14ac:dyDescent="0.3">
      <c r="B380">
        <v>378</v>
      </c>
      <c r="C380">
        <f t="shared" si="5"/>
        <v>2.0400192266878299</v>
      </c>
      <c r="D380">
        <f>Tableau1[[#This Row],[d1]]-$R$4*SQRT($O$4)</f>
        <v>1.14001922668783</v>
      </c>
      <c r="E380">
        <f>NORMSDIST(Tableau1[[#This Row],[d1]])</f>
        <v>0.97932579460589331</v>
      </c>
      <c r="F380">
        <f>NORMSDIST(Tableau1[[#This Row],[d2]])</f>
        <v>0.87286085446216122</v>
      </c>
      <c r="G380">
        <f>Tableau1[[#This Row],[P]]*Tableau1[[#This Row],[N(d1)]]-$P$4*EXP(-$N$4*$O$4)*Tableau1[[#This Row],[N(d2)]]</f>
        <v>291.3075121763996</v>
      </c>
      <c r="L380">
        <f>MAX(Tableau1[[#This Row],[P]]-$P$4)-Tableau1[[#This Row],[C]]</f>
        <v>-8.307512176399598</v>
      </c>
      <c r="M380">
        <f xml:space="preserve"> Tableau1[[#This Row],[C]] - 0.5 * (-50) * (Tableau1[[#This Row],[P]] - $P$4)</f>
        <v>7366.3075121763995</v>
      </c>
    </row>
    <row r="381" spans="2:13" x14ac:dyDescent="0.3">
      <c r="B381">
        <v>379</v>
      </c>
      <c r="C381">
        <f t="shared" si="5"/>
        <v>2.0429547927576506</v>
      </c>
      <c r="D381">
        <f>Tableau1[[#This Row],[d1]]-$R$4*SQRT($O$4)</f>
        <v>1.1429547927576507</v>
      </c>
      <c r="E381">
        <f>NORMSDIST(Tableau1[[#This Row],[d1]])</f>
        <v>0.97947154325858032</v>
      </c>
      <c r="F381">
        <f>NORMSDIST(Tableau1[[#This Row],[d2]])</f>
        <v>0.87347131940080036</v>
      </c>
      <c r="G381">
        <f>Tableau1[[#This Row],[P]]*Tableau1[[#This Row],[N(d1)]]-$P$4*EXP(-$N$4*$O$4)*Tableau1[[#This Row],[N(d2)]]</f>
        <v>292.28691095020923</v>
      </c>
      <c r="L381">
        <f>MAX(Tableau1[[#This Row],[P]]-$P$4)-Tableau1[[#This Row],[C]]</f>
        <v>-8.2869109502092329</v>
      </c>
      <c r="M381">
        <f xml:space="preserve"> Tableau1[[#This Row],[C]] - 0.5 * (-50) * (Tableau1[[#This Row],[P]] - $P$4)</f>
        <v>7392.2869109502089</v>
      </c>
    </row>
    <row r="382" spans="2:13" x14ac:dyDescent="0.3">
      <c r="B382">
        <v>380</v>
      </c>
      <c r="C382">
        <f t="shared" si="5"/>
        <v>2.0458826234665453</v>
      </c>
      <c r="D382">
        <f>Tableau1[[#This Row],[d1]]-$R$4*SQRT($O$4)</f>
        <v>1.1458826234665453</v>
      </c>
      <c r="E382">
        <f>NORMSDIST(Tableau1[[#This Row],[d1]])</f>
        <v>0.97961603982288825</v>
      </c>
      <c r="F382">
        <f>NORMSDIST(Tableau1[[#This Row],[d2]])</f>
        <v>0.87407813899809084</v>
      </c>
      <c r="G382">
        <f>Tableau1[[#This Row],[P]]*Tableau1[[#This Row],[N(d1)]]-$P$4*EXP(-$N$4*$O$4)*Tableau1[[#This Row],[N(d2)]]</f>
        <v>293.2664548455557</v>
      </c>
      <c r="L382">
        <f>MAX(Tableau1[[#This Row],[P]]-$P$4)-Tableau1[[#This Row],[C]]</f>
        <v>-8.2664548455556996</v>
      </c>
      <c r="M382">
        <f xml:space="preserve"> Tableau1[[#This Row],[C]] - 0.5 * (-50) * (Tableau1[[#This Row],[P]] - $P$4)</f>
        <v>7418.2664548455559</v>
      </c>
    </row>
    <row r="383" spans="2:13" x14ac:dyDescent="0.3">
      <c r="B383">
        <v>381</v>
      </c>
      <c r="C383">
        <f t="shared" si="5"/>
        <v>2.048802759473511</v>
      </c>
      <c r="D383">
        <f>Tableau1[[#This Row],[d1]]-$R$4*SQRT($O$4)</f>
        <v>1.1488027594735111</v>
      </c>
      <c r="E383">
        <f>NORMSDIST(Tableau1[[#This Row],[d1]])</f>
        <v>0.97975929708139586</v>
      </c>
      <c r="F383">
        <f>NORMSDIST(Tableau1[[#This Row],[d2]])</f>
        <v>0.87468133936519088</v>
      </c>
      <c r="G383">
        <f>Tableau1[[#This Row],[P]]*Tableau1[[#This Row],[N(d1)]]-$P$4*EXP(-$N$4*$O$4)*Tableau1[[#This Row],[N(d2)]]</f>
        <v>294.24614261675475</v>
      </c>
      <c r="L383">
        <f>MAX(Tableau1[[#This Row],[P]]-$P$4)-Tableau1[[#This Row],[C]]</f>
        <v>-8.2461426167547529</v>
      </c>
      <c r="M383">
        <f xml:space="preserve"> Tableau1[[#This Row],[C]] - 0.5 * (-50) * (Tableau1[[#This Row],[P]] - $P$4)</f>
        <v>7444.2461426167547</v>
      </c>
    </row>
    <row r="384" spans="2:13" x14ac:dyDescent="0.3">
      <c r="B384">
        <v>382</v>
      </c>
      <c r="C384">
        <f t="shared" si="5"/>
        <v>2.0517152411178161</v>
      </c>
      <c r="D384">
        <f>Tableau1[[#This Row],[d1]]-$R$4*SQRT($O$4)</f>
        <v>1.1517152411178162</v>
      </c>
      <c r="E384">
        <f>NORMSDIST(Tableau1[[#This Row],[d1]])</f>
        <v>0.97990132766478388</v>
      </c>
      <c r="F384">
        <f>NORMSDIST(Tableau1[[#This Row],[d2]])</f>
        <v>0.8752809463963519</v>
      </c>
      <c r="G384">
        <f>Tableau1[[#This Row],[P]]*Tableau1[[#This Row],[N(d1)]]-$P$4*EXP(-$N$4*$O$4)*Tableau1[[#This Row],[N(d2)]]</f>
        <v>295.22597303082841</v>
      </c>
      <c r="L384">
        <f>MAX(Tableau1[[#This Row],[P]]-$P$4)-Tableau1[[#This Row],[C]]</f>
        <v>-8.2259730308284134</v>
      </c>
      <c r="M384">
        <f xml:space="preserve"> Tableau1[[#This Row],[C]] - 0.5 * (-50) * (Tableau1[[#This Row],[P]] - $P$4)</f>
        <v>7470.2259730308288</v>
      </c>
    </row>
    <row r="385" spans="2:13" x14ac:dyDescent="0.3">
      <c r="B385">
        <v>383</v>
      </c>
      <c r="C385">
        <f t="shared" si="5"/>
        <v>2.054620108422339</v>
      </c>
      <c r="D385">
        <f>Tableau1[[#This Row],[d1]]-$R$4*SQRT($O$4)</f>
        <v>1.1546201084223391</v>
      </c>
      <c r="E385">
        <f>NORMSDIST(Tableau1[[#This Row],[d1]])</f>
        <v>0.98004214405389978</v>
      </c>
      <c r="F385">
        <f>NORMSDIST(Tableau1[[#This Row],[d2]])</f>
        <v>0.87587698577093465</v>
      </c>
      <c r="G385">
        <f>Tableau1[[#This Row],[P]]*Tableau1[[#This Row],[N(d1)]]-$P$4*EXP(-$N$4*$O$4)*Tableau1[[#This Row],[N(d2)]]</f>
        <v>296.20594486735456</v>
      </c>
      <c r="L385">
        <f>MAX(Tableau1[[#This Row],[P]]-$P$4)-Tableau1[[#This Row],[C]]</f>
        <v>-8.2059448673545603</v>
      </c>
      <c r="M385">
        <f xml:space="preserve"> Tableau1[[#This Row],[C]] - 0.5 * (-50) * (Tableau1[[#This Row],[P]] - $P$4)</f>
        <v>7496.2059448673544</v>
      </c>
    </row>
    <row r="386" spans="2:13" x14ac:dyDescent="0.3">
      <c r="B386">
        <v>384</v>
      </c>
      <c r="C386">
        <f t="shared" si="5"/>
        <v>2.0575174010968733</v>
      </c>
      <c r="D386">
        <f>Tableau1[[#This Row],[d1]]-$R$4*SQRT($O$4)</f>
        <v>1.1575174010968734</v>
      </c>
      <c r="E386">
        <f>NORMSDIST(Tableau1[[#This Row],[d1]])</f>
        <v>0.98018175858179146</v>
      </c>
      <c r="F386">
        <f>NORMSDIST(Tableau1[[#This Row],[d2]])</f>
        <v>0.87646948295540728</v>
      </c>
      <c r="G386">
        <f>Tableau1[[#This Row],[P]]*Tableau1[[#This Row],[N(d1)]]-$P$4*EXP(-$N$4*$O$4)*Tableau1[[#This Row],[N(d2)]]</f>
        <v>297.18605691831743</v>
      </c>
      <c r="L386">
        <f>MAX(Tableau1[[#This Row],[P]]-$P$4)-Tableau1[[#This Row],[C]]</f>
        <v>-8.1860569183174334</v>
      </c>
      <c r="M386">
        <f xml:space="preserve"> Tableau1[[#This Row],[C]] - 0.5 * (-50) * (Tableau1[[#This Row],[P]] - $P$4)</f>
        <v>7522.1860569183173</v>
      </c>
    </row>
    <row r="387" spans="2:13" x14ac:dyDescent="0.3">
      <c r="B387">
        <v>385</v>
      </c>
      <c r="C387">
        <f t="shared" ref="C387:C450" si="6" xml:space="preserve"> (LN($B387/$P$4) + ($N$4 + ($R$4^2)/2) * $O$4) / ($R$4 * SQRT($O$4))</f>
        <v>2.0604071585413815</v>
      </c>
      <c r="D387">
        <f>Tableau1[[#This Row],[d1]]-$R$4*SQRT($O$4)</f>
        <v>1.1604071585413815</v>
      </c>
      <c r="E387">
        <f>NORMSDIST(Tableau1[[#This Row],[d1]])</f>
        <v>0.98032018343570948</v>
      </c>
      <c r="F387">
        <f>NORMSDIST(Tableau1[[#This Row],[d2]])</f>
        <v>0.87705846320532144</v>
      </c>
      <c r="G387">
        <f>Tableau1[[#This Row],[P]]*Tableau1[[#This Row],[N(d1)]]-$P$4*EXP(-$N$4*$O$4)*Tableau1[[#This Row],[N(d2)]]</f>
        <v>298.16630798796166</v>
      </c>
      <c r="L387">
        <f>MAX(Tableau1[[#This Row],[P]]-$P$4)-Tableau1[[#This Row],[C]]</f>
        <v>-8.1663079879616589</v>
      </c>
      <c r="M387">
        <f xml:space="preserve"> Tableau1[[#This Row],[C]] - 0.5 * (-50) * (Tableau1[[#This Row],[P]] - $P$4)</f>
        <v>7548.1663079879618</v>
      </c>
    </row>
    <row r="388" spans="2:13" x14ac:dyDescent="0.3">
      <c r="B388">
        <v>386</v>
      </c>
      <c r="C388">
        <f t="shared" si="6"/>
        <v>2.0632894198492111</v>
      </c>
      <c r="D388">
        <f>Tableau1[[#This Row],[d1]]-$R$4*SQRT($O$4)</f>
        <v>1.1632894198492112</v>
      </c>
      <c r="E388">
        <f>NORMSDIST(Tableau1[[#This Row],[d1]])</f>
        <v>0.98045743065907842</v>
      </c>
      <c r="F388">
        <f>NORMSDIST(Tableau1[[#This Row],[d2]])</f>
        <v>0.87764395156727026</v>
      </c>
      <c r="G388">
        <f>Tableau1[[#This Row],[P]]*Tableau1[[#This Row],[N(d1)]]-$P$4*EXP(-$N$4*$O$4)*Tableau1[[#This Row],[N(d2)]]</f>
        <v>299.1466968926469</v>
      </c>
      <c r="L388">
        <f>MAX(Tableau1[[#This Row],[P]]-$P$4)-Tableau1[[#This Row],[C]]</f>
        <v>-8.1466968926469008</v>
      </c>
      <c r="M388">
        <f xml:space="preserve"> Tableau1[[#This Row],[C]] - 0.5 * (-50) * (Tableau1[[#This Row],[P]] - $P$4)</f>
        <v>7574.146696892647</v>
      </c>
    </row>
    <row r="389" spans="2:13" x14ac:dyDescent="0.3">
      <c r="B389">
        <v>387</v>
      </c>
      <c r="C389">
        <f t="shared" si="6"/>
        <v>2.0661642238102678</v>
      </c>
      <c r="D389">
        <f>Tableau1[[#This Row],[d1]]-$R$4*SQRT($O$4)</f>
        <v>1.1661642238102679</v>
      </c>
      <c r="E389">
        <f>NORMSDIST(Tableau1[[#This Row],[d1]])</f>
        <v>0.98059351215343882</v>
      </c>
      <c r="F389">
        <f>NORMSDIST(Tableau1[[#This Row],[d2]])</f>
        <v>0.87822597288082627</v>
      </c>
      <c r="G389">
        <f>Tableau1[[#This Row],[P]]*Tableau1[[#This Row],[N(d1)]]-$P$4*EXP(-$N$4*$O$4)*Tableau1[[#This Row],[N(d2)]]</f>
        <v>300.12722246070507</v>
      </c>
      <c r="L389">
        <f>MAX(Tableau1[[#This Row],[P]]-$P$4)-Tableau1[[#This Row],[C]]</f>
        <v>-8.1272224607050703</v>
      </c>
      <c r="M389">
        <f xml:space="preserve"> Tableau1[[#This Row],[C]] - 0.5 * (-50) * (Tableau1[[#This Row],[P]] - $P$4)</f>
        <v>7600.1272224607055</v>
      </c>
    </row>
    <row r="390" spans="2:13" x14ac:dyDescent="0.3">
      <c r="B390">
        <v>388</v>
      </c>
      <c r="C390">
        <f t="shared" si="6"/>
        <v>2.0690316089141474</v>
      </c>
      <c r="D390">
        <f>Tableau1[[#This Row],[d1]]-$R$4*SQRT($O$4)</f>
        <v>1.1690316089141475</v>
      </c>
      <c r="E390">
        <f>NORMSDIST(Tableau1[[#This Row],[d1]])</f>
        <v>0.98072843968035905</v>
      </c>
      <c r="F390">
        <f>NORMSDIST(Tableau1[[#This Row],[d2]])</f>
        <v>0.87880455178045991</v>
      </c>
      <c r="G390">
        <f>Tableau1[[#This Row],[P]]*Tableau1[[#This Row],[N(d1)]]-$P$4*EXP(-$N$4*$O$4)*Tableau1[[#This Row],[N(d2)]]</f>
        <v>301.10788353229952</v>
      </c>
      <c r="L390">
        <f>MAX(Tableau1[[#This Row],[P]]-$P$4)-Tableau1[[#This Row],[C]]</f>
        <v>-8.1078835322995246</v>
      </c>
      <c r="M390">
        <f xml:space="preserve"> Tableau1[[#This Row],[C]] - 0.5 * (-50) * (Tableau1[[#This Row],[P]] - $P$4)</f>
        <v>7626.1078835322996</v>
      </c>
    </row>
    <row r="391" spans="2:13" x14ac:dyDescent="0.3">
      <c r="B391">
        <v>389</v>
      </c>
      <c r="C391">
        <f t="shared" si="6"/>
        <v>2.0718916133532281</v>
      </c>
      <c r="D391">
        <f>Tableau1[[#This Row],[d1]]-$R$4*SQRT($O$4)</f>
        <v>1.1718916133532282</v>
      </c>
      <c r="E391">
        <f>NORMSDIST(Tableau1[[#This Row],[d1]])</f>
        <v>0.98086222486331842</v>
      </c>
      <c r="F391">
        <f>NORMSDIST(Tableau1[[#This Row],[d2]])</f>
        <v>0.87937971269743909</v>
      </c>
      <c r="G391">
        <f>Tableau1[[#This Row],[P]]*Tableau1[[#This Row],[N(d1)]]-$P$4*EXP(-$N$4*$O$4)*Tableau1[[#This Row],[N(d2)]]</f>
        <v>302.08867895928597</v>
      </c>
      <c r="L391">
        <f>MAX(Tableau1[[#This Row],[P]]-$P$4)-Tableau1[[#This Row],[C]]</f>
        <v>-8.0886789592859714</v>
      </c>
      <c r="M391">
        <f xml:space="preserve"> Tableau1[[#This Row],[C]] - 0.5 * (-50) * (Tableau1[[#This Row],[P]] - $P$4)</f>
        <v>7652.088678959286</v>
      </c>
    </row>
    <row r="392" spans="2:13" x14ac:dyDescent="0.3">
      <c r="B392">
        <v>390</v>
      </c>
      <c r="C392">
        <f t="shared" si="6"/>
        <v>2.0747442750257239</v>
      </c>
      <c r="D392">
        <f>Tableau1[[#This Row],[d1]]-$R$4*SQRT($O$4)</f>
        <v>1.174744275025724</v>
      </c>
      <c r="E392">
        <f>NORMSDIST(Tableau1[[#This Row],[d1]])</f>
        <v>0.98099487918956152</v>
      </c>
      <c r="F392">
        <f>NORMSDIST(Tableau1[[#This Row],[d2]])</f>
        <v>0.8799514798617103</v>
      </c>
      <c r="G392">
        <f>Tableau1[[#This Row],[P]]*Tableau1[[#This Row],[N(d1)]]-$P$4*EXP(-$N$4*$O$4)*Tableau1[[#This Row],[N(d2)]]</f>
        <v>303.06960760507536</v>
      </c>
      <c r="L392">
        <f>MAX(Tableau1[[#This Row],[P]]-$P$4)-Tableau1[[#This Row],[C]]</f>
        <v>-8.0696076050753618</v>
      </c>
      <c r="M392">
        <f xml:space="preserve"> Tableau1[[#This Row],[C]] - 0.5 * (-50) * (Tableau1[[#This Row],[P]] - $P$4)</f>
        <v>7678.0696076050754</v>
      </c>
    </row>
    <row r="393" spans="2:13" x14ac:dyDescent="0.3">
      <c r="B393">
        <v>391</v>
      </c>
      <c r="C393">
        <f t="shared" si="6"/>
        <v>2.0775896315386944</v>
      </c>
      <c r="D393">
        <f>Tableau1[[#This Row],[d1]]-$R$4*SQRT($O$4)</f>
        <v>1.1775896315386944</v>
      </c>
      <c r="E393">
        <f>NORMSDIST(Tableau1[[#This Row],[d1]])</f>
        <v>0.98112641401192491</v>
      </c>
      <c r="F393">
        <f>NORMSDIST(Tableau1[[#This Row],[d2]])</f>
        <v>0.88051987730375991</v>
      </c>
      <c r="G393">
        <f>Tableau1[[#This Row],[P]]*Tableau1[[#This Row],[N(d1)]]-$P$4*EXP(-$N$4*$O$4)*Tableau1[[#This Row],[N(d2)]]</f>
        <v>304.05066834449866</v>
      </c>
      <c r="L393">
        <f>MAX(Tableau1[[#This Row],[P]]-$P$4)-Tableau1[[#This Row],[C]]</f>
        <v>-8.0506683444986606</v>
      </c>
      <c r="M393">
        <f xml:space="preserve"> Tableau1[[#This Row],[C]] - 0.5 * (-50) * (Tableau1[[#This Row],[P]] - $P$4)</f>
        <v>7704.0506683444983</v>
      </c>
    </row>
    <row r="394" spans="2:13" x14ac:dyDescent="0.3">
      <c r="B394">
        <v>392</v>
      </c>
      <c r="C394">
        <f t="shared" si="6"/>
        <v>2.0804277202110244</v>
      </c>
      <c r="D394">
        <f>Tableau1[[#This Row],[d1]]-$R$4*SQRT($O$4)</f>
        <v>1.1804277202110245</v>
      </c>
      <c r="E394">
        <f>NORMSDIST(Tableau1[[#This Row],[d1]])</f>
        <v>0.98125684055063533</v>
      </c>
      <c r="F394">
        <f>NORMSDIST(Tableau1[[#This Row],[d2]])</f>
        <v>0.88108492885645839</v>
      </c>
      <c r="G394">
        <f>Tableau1[[#This Row],[P]]*Tableau1[[#This Row],[N(d1)]]-$P$4*EXP(-$N$4*$O$4)*Tableau1[[#This Row],[N(d2)]]</f>
        <v>305.03186006367281</v>
      </c>
      <c r="L394">
        <f>MAX(Tableau1[[#This Row],[P]]-$P$4)-Tableau1[[#This Row],[C]]</f>
        <v>-8.0318600636728092</v>
      </c>
      <c r="M394">
        <f xml:space="preserve"> Tableau1[[#This Row],[C]] - 0.5 * (-50) * (Tableau1[[#This Row],[P]] - $P$4)</f>
        <v>7730.0318600636729</v>
      </c>
    </row>
    <row r="395" spans="2:13" x14ac:dyDescent="0.3">
      <c r="B395">
        <v>393</v>
      </c>
      <c r="C395">
        <f t="shared" si="6"/>
        <v>2.0832585780763559</v>
      </c>
      <c r="D395">
        <f>Tableau1[[#This Row],[d1]]-$R$4*SQRT($O$4)</f>
        <v>1.183258578076356</v>
      </c>
      <c r="E395">
        <f>NORMSDIST(Tableau1[[#This Row],[d1]])</f>
        <v>0.98138616989508198</v>
      </c>
      <c r="F395">
        <f>NORMSDIST(Tableau1[[#This Row],[d2]])</f>
        <v>0.88164665815688426</v>
      </c>
      <c r="G395">
        <f>Tableau1[[#This Row],[P]]*Tableau1[[#This Row],[N(d1)]]-$P$4*EXP(-$N$4*$O$4)*Tableau1[[#This Row],[N(d2)]]</f>
        <v>306.01318165986987</v>
      </c>
      <c r="L395">
        <f>MAX(Tableau1[[#This Row],[P]]-$P$4)-Tableau1[[#This Row],[C]]</f>
        <v>-8.013181659869872</v>
      </c>
      <c r="M395">
        <f xml:space="preserve"> Tableau1[[#This Row],[C]] - 0.5 * (-50) * (Tableau1[[#This Row],[P]] - $P$4)</f>
        <v>7756.0131816598696</v>
      </c>
    </row>
    <row r="396" spans="2:13" x14ac:dyDescent="0.3">
      <c r="B396">
        <v>394</v>
      </c>
      <c r="C396">
        <f t="shared" si="6"/>
        <v>2.0860822418859923</v>
      </c>
      <c r="D396">
        <f>Tableau1[[#This Row],[d1]]-$R$4*SQRT($O$4)</f>
        <v>1.1860822418859924</v>
      </c>
      <c r="E396">
        <f>NORMSDIST(Tableau1[[#This Row],[d1]])</f>
        <v>0.98151441300556108</v>
      </c>
      <c r="F396">
        <f>NORMSDIST(Tableau1[[#This Row],[d2]])</f>
        <v>0.88220508864813274</v>
      </c>
      <c r="G396">
        <f>Tableau1[[#This Row],[P]]*Tableau1[[#This Row],[N(d1)]]-$P$4*EXP(-$N$4*$O$4)*Tableau1[[#This Row],[N(d2)]]</f>
        <v>306.99463204138641</v>
      </c>
      <c r="L396">
        <f>MAX(Tableau1[[#This Row],[P]]-$P$4)-Tableau1[[#This Row],[C]]</f>
        <v>-7.99463204138641</v>
      </c>
      <c r="M396">
        <f xml:space="preserve"> Tableau1[[#This Row],[C]] - 0.5 * (-50) * (Tableau1[[#This Row],[P]] - $P$4)</f>
        <v>7781.9946320413865</v>
      </c>
    </row>
    <row r="397" spans="2:13" x14ac:dyDescent="0.3">
      <c r="B397">
        <v>395</v>
      </c>
      <c r="C397">
        <f t="shared" si="6"/>
        <v>2.0888987481117569</v>
      </c>
      <c r="D397">
        <f>Tableau1[[#This Row],[d1]]-$R$4*SQRT($O$4)</f>
        <v>1.188898748111757</v>
      </c>
      <c r="E397">
        <f>NORMSDIST(Tableau1[[#This Row],[d1]])</f>
        <v>0.98164158071499463</v>
      </c>
      <c r="F397">
        <f>NORMSDIST(Tableau1[[#This Row],[d2]])</f>
        <v>0.88276024358110305</v>
      </c>
      <c r="G397">
        <f>Tableau1[[#This Row],[P]]*Tableau1[[#This Row],[N(d1)]]-$P$4*EXP(-$N$4*$O$4)*Tableau1[[#This Row],[N(d2)]]</f>
        <v>307.97621012741541</v>
      </c>
      <c r="L397">
        <f>MAX(Tableau1[[#This Row],[P]]-$P$4)-Tableau1[[#This Row],[C]]</f>
        <v>-7.9762101274154134</v>
      </c>
      <c r="M397">
        <f xml:space="preserve"> Tableau1[[#This Row],[C]] - 0.5 * (-50) * (Tableau1[[#This Row],[P]] - $P$4)</f>
        <v>7807.9762101274155</v>
      </c>
    </row>
    <row r="398" spans="2:13" x14ac:dyDescent="0.3">
      <c r="B398">
        <v>396</v>
      </c>
      <c r="C398">
        <f t="shared" si="6"/>
        <v>2.0917081329488219</v>
      </c>
      <c r="D398">
        <f>Tableau1[[#This Row],[d1]]-$R$4*SQRT($O$4)</f>
        <v>1.1917081329488219</v>
      </c>
      <c r="E398">
        <f>NORMSDIST(Tableau1[[#This Row],[d1]])</f>
        <v>0.9817676837306234</v>
      </c>
      <c r="F398">
        <f>NORMSDIST(Tableau1[[#This Row],[d2]])</f>
        <v>0.88331214601627028</v>
      </c>
      <c r="G398">
        <f>Tableau1[[#This Row],[P]]*Tableau1[[#This Row],[N(d1)]]-$P$4*EXP(-$N$4*$O$4)*Tableau1[[#This Row],[N(d2)]]</f>
        <v>308.95791484791988</v>
      </c>
      <c r="L398">
        <f>MAX(Tableau1[[#This Row],[P]]-$P$4)-Tableau1[[#This Row],[C]]</f>
        <v>-7.9579148479198807</v>
      </c>
      <c r="M398">
        <f xml:space="preserve"> Tableau1[[#This Row],[C]] - 0.5 * (-50) * (Tableau1[[#This Row],[P]] - $P$4)</f>
        <v>7833.9579148479197</v>
      </c>
    </row>
    <row r="399" spans="2:13" x14ac:dyDescent="0.3">
      <c r="B399">
        <v>397</v>
      </c>
      <c r="C399">
        <f t="shared" si="6"/>
        <v>2.0945104323184993</v>
      </c>
      <c r="D399">
        <f>Tableau1[[#This Row],[d1]]-$R$4*SQRT($O$4)</f>
        <v>1.1945104323184994</v>
      </c>
      <c r="E399">
        <f>NORMSDIST(Tableau1[[#This Row],[d1]])</f>
        <v>0.98189273263567445</v>
      </c>
      <c r="F399">
        <f>NORMSDIST(Tableau1[[#This Row],[d2]])</f>
        <v>0.8838608188254391</v>
      </c>
      <c r="G399">
        <f>Tableau1[[#This Row],[P]]*Tableau1[[#This Row],[N(d1)]]-$P$4*EXP(-$N$4*$O$4)*Tableau1[[#This Row],[N(d2)]]</f>
        <v>309.93974514350782</v>
      </c>
      <c r="L399">
        <f>MAX(Tableau1[[#This Row],[P]]-$P$4)-Tableau1[[#This Row],[C]]</f>
        <v>-7.939745143507821</v>
      </c>
      <c r="M399">
        <f xml:space="preserve"> Tableau1[[#This Row],[C]] - 0.5 * (-50) * (Tableau1[[#This Row],[P]] - $P$4)</f>
        <v>7859.9397451435079</v>
      </c>
    </row>
    <row r="400" spans="2:13" x14ac:dyDescent="0.3">
      <c r="B400">
        <v>398</v>
      </c>
      <c r="C400">
        <f t="shared" si="6"/>
        <v>2.0973056818709965</v>
      </c>
      <c r="D400">
        <f>Tableau1[[#This Row],[d1]]-$R$4*SQRT($O$4)</f>
        <v>1.1973056818709966</v>
      </c>
      <c r="E400">
        <f>NORMSDIST(Tableau1[[#This Row],[d1]])</f>
        <v>0.98201673789100419</v>
      </c>
      <c r="F400">
        <f>NORMSDIST(Tableau1[[#This Row],[d2]])</f>
        <v>0.88440628469347971</v>
      </c>
      <c r="G400">
        <f>Tableau1[[#This Row],[P]]*Tableau1[[#This Row],[N(d1)]]-$P$4*EXP(-$N$4*$O$4)*Tableau1[[#This Row],[N(d2)]]</f>
        <v>310.92169996530924</v>
      </c>
      <c r="L400">
        <f>MAX(Tableau1[[#This Row],[P]]-$P$4)-Tableau1[[#This Row],[C]]</f>
        <v>-7.9216999653092444</v>
      </c>
      <c r="M400">
        <f xml:space="preserve"> Tableau1[[#This Row],[C]] - 0.5 * (-50) * (Tableau1[[#This Row],[P]] - $P$4)</f>
        <v>7885.921699965309</v>
      </c>
    </row>
    <row r="401" spans="2:13" x14ac:dyDescent="0.3">
      <c r="B401">
        <v>399</v>
      </c>
      <c r="C401">
        <f t="shared" si="6"/>
        <v>2.1000939169881363</v>
      </c>
      <c r="D401">
        <f>Tableau1[[#This Row],[d1]]-$R$4*SQRT($O$4)</f>
        <v>1.2000939169881364</v>
      </c>
      <c r="E401">
        <f>NORMSDIST(Tableau1[[#This Row],[d1]])</f>
        <v>0.9821397098367155</v>
      </c>
      <c r="F401">
        <f>NORMSDIST(Tableau1[[#This Row],[d2]])</f>
        <v>0.88494856612004635</v>
      </c>
      <c r="G401">
        <f>Tableau1[[#This Row],[P]]*Tableau1[[#This Row],[N(d1)]]-$P$4*EXP(-$N$4*$O$4)*Tableau1[[#This Row],[N(d2)]]</f>
        <v>311.90377827485463</v>
      </c>
      <c r="L401">
        <f>MAX(Tableau1[[#This Row],[P]]-$P$4)-Tableau1[[#This Row],[C]]</f>
        <v>-7.9037782748546306</v>
      </c>
      <c r="M401">
        <f xml:space="preserve"> Tableau1[[#This Row],[C]] - 0.5 * (-50) * (Tableau1[[#This Row],[P]] - $P$4)</f>
        <v>7911.9037782748546</v>
      </c>
    </row>
    <row r="402" spans="2:13" x14ac:dyDescent="0.3">
      <c r="B402">
        <v>400</v>
      </c>
      <c r="C402">
        <f t="shared" si="6"/>
        <v>2.102875172786046</v>
      </c>
      <c r="D402">
        <f>Tableau1[[#This Row],[d1]]-$R$4*SQRT($O$4)</f>
        <v>1.2028751727860461</v>
      </c>
      <c r="E402">
        <f>NORMSDIST(Tableau1[[#This Row],[d1]])</f>
        <v>0.98226165869375259</v>
      </c>
      <c r="F402">
        <f>NORMSDIST(Tableau1[[#This Row],[d2]])</f>
        <v>0.88548768542127965</v>
      </c>
      <c r="G402">
        <f>Tableau1[[#This Row],[P]]*Tableau1[[#This Row],[N(d1)]]-$P$4*EXP(-$N$4*$O$4)*Tableau1[[#This Row],[N(d2)]]</f>
        <v>312.88597904395453</v>
      </c>
      <c r="L402">
        <f>MAX(Tableau1[[#This Row],[P]]-$P$4)-Tableau1[[#This Row],[C]]</f>
        <v>-7.885979043954535</v>
      </c>
      <c r="M402">
        <f xml:space="preserve"> Tableau1[[#This Row],[C]] - 0.5 * (-50) * (Tableau1[[#This Row],[P]] - $P$4)</f>
        <v>7937.8859790439546</v>
      </c>
    </row>
    <row r="403" spans="2:13" x14ac:dyDescent="0.3">
      <c r="B403">
        <v>401</v>
      </c>
      <c r="C403">
        <f t="shared" si="6"/>
        <v>2.1056494841178095</v>
      </c>
      <c r="D403">
        <f>Tableau1[[#This Row],[d1]]-$R$4*SQRT($O$4)</f>
        <v>1.2056494841178096</v>
      </c>
      <c r="E403">
        <f>NORMSDIST(Tableau1[[#This Row],[d1]])</f>
        <v>0.98238259456547095</v>
      </c>
      <c r="F403">
        <f>NORMSDIST(Tableau1[[#This Row],[d2]])</f>
        <v>0.88602366473149063</v>
      </c>
      <c r="G403">
        <f>Tableau1[[#This Row],[P]]*Tableau1[[#This Row],[N(d1)]]-$P$4*EXP(-$N$4*$O$4)*Tableau1[[#This Row],[N(d2)]]</f>
        <v>313.8683012545817</v>
      </c>
      <c r="L403">
        <f>MAX(Tableau1[[#This Row],[P]]-$P$4)-Tableau1[[#This Row],[C]]</f>
        <v>-7.868301254581695</v>
      </c>
      <c r="M403">
        <f xml:space="preserve"> Tableau1[[#This Row],[C]] - 0.5 * (-50) * (Tableau1[[#This Row],[P]] - $P$4)</f>
        <v>7963.8683012545816</v>
      </c>
    </row>
    <row r="404" spans="2:13" x14ac:dyDescent="0.3">
      <c r="B404">
        <v>402</v>
      </c>
      <c r="C404">
        <f t="shared" si="6"/>
        <v>2.108416885576089</v>
      </c>
      <c r="D404">
        <f>Tableau1[[#This Row],[d1]]-$R$4*SQRT($O$4)</f>
        <v>1.2084168855760891</v>
      </c>
      <c r="E404">
        <f>NORMSDIST(Tableau1[[#This Row],[d1]])</f>
        <v>0.98250252743918409</v>
      </c>
      <c r="F404">
        <f>NORMSDIST(Tableau1[[#This Row],[d2]])</f>
        <v>0.88655652600482959</v>
      </c>
      <c r="G404">
        <f>Tableau1[[#This Row],[P]]*Tableau1[[#This Row],[N(d1)]]-$P$4*EXP(-$N$4*$O$4)*Tableau1[[#This Row],[N(d2)]]</f>
        <v>314.85074389875399</v>
      </c>
      <c r="L404">
        <f>MAX(Tableau1[[#This Row],[P]]-$P$4)-Tableau1[[#This Row],[C]]</f>
        <v>-7.8507438987539899</v>
      </c>
      <c r="M404">
        <f xml:space="preserve"> Tableau1[[#This Row],[C]] - 0.5 * (-50) * (Tableau1[[#This Row],[P]] - $P$4)</f>
        <v>7989.8507438987544</v>
      </c>
    </row>
    <row r="405" spans="2:13" x14ac:dyDescent="0.3">
      <c r="B405">
        <v>403</v>
      </c>
      <c r="C405">
        <f t="shared" si="6"/>
        <v>2.1111774114957136</v>
      </c>
      <c r="D405">
        <f>Tableau1[[#This Row],[d1]]-$R$4*SQRT($O$4)</f>
        <v>1.2111774114957137</v>
      </c>
      <c r="E405">
        <f>NORMSDIST(Tableau1[[#This Row],[d1]])</f>
        <v>0.98262146718768828</v>
      </c>
      <c r="F405">
        <f>NORMSDIST(Tableau1[[#This Row],[d2]])</f>
        <v>0.88708629101693726</v>
      </c>
      <c r="G405">
        <f>Tableau1[[#This Row],[P]]*Tableau1[[#This Row],[N(d1)]]-$P$4*EXP(-$N$4*$O$4)*Tableau1[[#This Row],[N(d2)]]</f>
        <v>315.8333059784195</v>
      </c>
      <c r="L405">
        <f>MAX(Tableau1[[#This Row],[P]]-$P$4)-Tableau1[[#This Row],[C]]</f>
        <v>-7.8333059784195029</v>
      </c>
      <c r="M405">
        <f xml:space="preserve"> Tableau1[[#This Row],[C]] - 0.5 * (-50) * (Tableau1[[#This Row],[P]] - $P$4)</f>
        <v>8015.83330597842</v>
      </c>
    </row>
    <row r="406" spans="2:13" x14ac:dyDescent="0.3">
      <c r="B406">
        <v>404</v>
      </c>
      <c r="C406">
        <f t="shared" si="6"/>
        <v>2.1139310959562327</v>
      </c>
      <c r="D406">
        <f>Tableau1[[#This Row],[d1]]-$R$4*SQRT($O$4)</f>
        <v>1.2139310959562328</v>
      </c>
      <c r="E406">
        <f>NORMSDIST(Tableau1[[#This Row],[d1]])</f>
        <v>0.98273942357076272</v>
      </c>
      <c r="F406">
        <f>NORMSDIST(Tableau1[[#This Row],[d2]])</f>
        <v>0.88761298136657962</v>
      </c>
      <c r="G406">
        <f>Tableau1[[#This Row],[P]]*Tableau1[[#This Row],[N(d1)]]-$P$4*EXP(-$N$4*$O$4)*Tableau1[[#This Row],[N(d2)]]</f>
        <v>316.81598650534215</v>
      </c>
      <c r="L406">
        <f>MAX(Tableau1[[#This Row],[P]]-$P$4)-Tableau1[[#This Row],[C]]</f>
        <v>-7.8159865053421527</v>
      </c>
      <c r="M406">
        <f xml:space="preserve"> Tableau1[[#This Row],[C]] - 0.5 * (-50) * (Tableau1[[#This Row],[P]] - $P$4)</f>
        <v>8041.8159865053422</v>
      </c>
    </row>
    <row r="407" spans="2:13" x14ac:dyDescent="0.3">
      <c r="B407">
        <v>405</v>
      </c>
      <c r="C407">
        <f t="shared" si="6"/>
        <v>2.1166779727844429</v>
      </c>
      <c r="D407">
        <f>Tableau1[[#This Row],[d1]]-$R$4*SQRT($O$4)</f>
        <v>1.216677972784443</v>
      </c>
      <c r="E407">
        <f>NORMSDIST(Tableau1[[#This Row],[d1]])</f>
        <v>0.98285640623665005</v>
      </c>
      <c r="F407">
        <f>NORMSDIST(Tableau1[[#This Row],[d2]])</f>
        <v>0.88813661847726699</v>
      </c>
      <c r="G407">
        <f>Tableau1[[#This Row],[P]]*Tableau1[[#This Row],[N(d1)]]-$P$4*EXP(-$N$4*$O$4)*Tableau1[[#This Row],[N(d2)]]</f>
        <v>317.79878450098988</v>
      </c>
      <c r="L407">
        <f>MAX(Tableau1[[#This Row],[P]]-$P$4)-Tableau1[[#This Row],[C]]</f>
        <v>-7.798784500989882</v>
      </c>
      <c r="M407">
        <f xml:space="preserve"> Tableau1[[#This Row],[C]] - 0.5 * (-50) * (Tableau1[[#This Row],[P]] - $P$4)</f>
        <v>8067.7987845009902</v>
      </c>
    </row>
    <row r="408" spans="2:13" x14ac:dyDescent="0.3">
      <c r="B408">
        <v>406</v>
      </c>
      <c r="C408">
        <f t="shared" si="6"/>
        <v>2.1194180755568799</v>
      </c>
      <c r="D408">
        <f>Tableau1[[#This Row],[d1]]-$R$4*SQRT($O$4)</f>
        <v>1.21941807555688</v>
      </c>
      <c r="E408">
        <f>NORMSDIST(Tableau1[[#This Row],[d1]])</f>
        <v>0.98297242472351287</v>
      </c>
      <c r="F408">
        <f>NORMSDIST(Tableau1[[#This Row],[d2]])</f>
        <v>0.88865722359885679</v>
      </c>
      <c r="G408">
        <f>Tableau1[[#This Row],[P]]*Tableau1[[#This Row],[N(d1)]]-$P$4*EXP(-$N$4*$O$4)*Tableau1[[#This Row],[N(d2)]]</f>
        <v>318.7816989964237</v>
      </c>
      <c r="L408">
        <f>MAX(Tableau1[[#This Row],[P]]-$P$4)-Tableau1[[#This Row],[C]]</f>
        <v>-7.7816989964236996</v>
      </c>
      <c r="M408">
        <f xml:space="preserve"> Tableau1[[#This Row],[C]] - 0.5 * (-50) * (Tableau1[[#This Row],[P]] - $P$4)</f>
        <v>8093.781698996424</v>
      </c>
    </row>
    <row r="409" spans="2:13" x14ac:dyDescent="0.3">
      <c r="B409">
        <v>407</v>
      </c>
      <c r="C409">
        <f t="shared" si="6"/>
        <v>2.1221514376022825</v>
      </c>
      <c r="D409">
        <f>Tableau1[[#This Row],[d1]]-$R$4*SQRT($O$4)</f>
        <v>1.2221514376022826</v>
      </c>
      <c r="E409">
        <f>NORMSDIST(Tableau1[[#This Row],[d1]])</f>
        <v>0.98308748846087046</v>
      </c>
      <c r="F409">
        <f>NORMSDIST(Tableau1[[#This Row],[d2]])</f>
        <v>0.88917481780914054</v>
      </c>
      <c r="G409">
        <f>Tableau1[[#This Row],[P]]*Tableau1[[#This Row],[N(d1)]]-$P$4*EXP(-$N$4*$O$4)*Tableau1[[#This Row],[N(d2)]]</f>
        <v>319.76472903218826</v>
      </c>
      <c r="L409">
        <f>MAX(Tableau1[[#This Row],[P]]-$P$4)-Tableau1[[#This Row],[C]]</f>
        <v>-7.7647290321882565</v>
      </c>
      <c r="M409">
        <f xml:space="preserve"> Tableau1[[#This Row],[C]] - 0.5 * (-50) * (Tableau1[[#This Row],[P]] - $P$4)</f>
        <v>8119.7647290321884</v>
      </c>
    </row>
    <row r="410" spans="2:13" x14ac:dyDescent="0.3">
      <c r="B410">
        <v>408</v>
      </c>
      <c r="C410">
        <f t="shared" si="6"/>
        <v>2.1248780920040233</v>
      </c>
      <c r="D410">
        <f>Tableau1[[#This Row],[d1]]-$R$4*SQRT($O$4)</f>
        <v>1.2248780920040234</v>
      </c>
      <c r="E410">
        <f>NORMSDIST(Tableau1[[#This Row],[d1]])</f>
        <v>0.98320160677101276</v>
      </c>
      <c r="F410">
        <f>NORMSDIST(Tableau1[[#This Row],[d2]])</f>
        <v>0.88968942201541412</v>
      </c>
      <c r="G410">
        <f>Tableau1[[#This Row],[P]]*Tableau1[[#This Row],[N(d1)]]-$P$4*EXP(-$N$4*$O$4)*Tableau1[[#This Row],[N(d2)]]</f>
        <v>320.74787365820418</v>
      </c>
      <c r="L410">
        <f>MAX(Tableau1[[#This Row],[P]]-$P$4)-Tableau1[[#This Row],[C]]</f>
        <v>-7.7478736582041847</v>
      </c>
      <c r="M410">
        <f xml:space="preserve"> Tableau1[[#This Row],[C]] - 0.5 * (-50) * (Tableau1[[#This Row],[P]] - $P$4)</f>
        <v>8145.7478736582043</v>
      </c>
    </row>
    <row r="411" spans="2:13" x14ac:dyDescent="0.3">
      <c r="B411">
        <v>409</v>
      </c>
      <c r="C411">
        <f t="shared" si="6"/>
        <v>2.1275980716025118</v>
      </c>
      <c r="D411">
        <f>Tableau1[[#This Row],[d1]]-$R$4*SQRT($O$4)</f>
        <v>1.2275980716025119</v>
      </c>
      <c r="E411">
        <f>NORMSDIST(Tableau1[[#This Row],[d1]])</f>
        <v>0.98331478887039536</v>
      </c>
      <c r="F411">
        <f>NORMSDIST(Tableau1[[#This Row],[d2]])</f>
        <v>0.89020105695603435</v>
      </c>
      <c r="G411">
        <f>Tableau1[[#This Row],[P]]*Tableau1[[#This Row],[N(d1)]]-$P$4*EXP(-$N$4*$O$4)*Tableau1[[#This Row],[N(d2)]]</f>
        <v>321.73113193366123</v>
      </c>
      <c r="L411">
        <f>MAX(Tableau1[[#This Row],[P]]-$P$4)-Tableau1[[#This Row],[C]]</f>
        <v>-7.7311319336612314</v>
      </c>
      <c r="M411">
        <f xml:space="preserve"> Tableau1[[#This Row],[C]] - 0.5 * (-50) * (Tableau1[[#This Row],[P]] - $P$4)</f>
        <v>8171.7311319336613</v>
      </c>
    </row>
    <row r="412" spans="2:13" x14ac:dyDescent="0.3">
      <c r="B412">
        <v>410</v>
      </c>
      <c r="C412">
        <f t="shared" si="6"/>
        <v>2.1303114089975694</v>
      </c>
      <c r="D412">
        <f>Tableau1[[#This Row],[d1]]-$R$4*SQRT($O$4)</f>
        <v>1.2303114089975695</v>
      </c>
      <c r="E412">
        <f>NORMSDIST(Tableau1[[#This Row],[d1]])</f>
        <v>0.98342704387101243</v>
      </c>
      <c r="F412">
        <f>NORMSDIST(Tableau1[[#This Row],[d2]])</f>
        <v>0.89070974320195861</v>
      </c>
      <c r="G412">
        <f>Tableau1[[#This Row],[P]]*Tableau1[[#This Row],[N(d1)]]-$P$4*EXP(-$N$4*$O$4)*Tableau1[[#This Row],[N(d2)]]</f>
        <v>322.71450292691321</v>
      </c>
      <c r="L412">
        <f>MAX(Tableau1[[#This Row],[P]]-$P$4)-Tableau1[[#This Row],[C]]</f>
        <v>-7.7145029269132124</v>
      </c>
      <c r="M412">
        <f xml:space="preserve"> Tableau1[[#This Row],[C]] - 0.5 * (-50) * (Tableau1[[#This Row],[P]] - $P$4)</f>
        <v>8197.7145029269141</v>
      </c>
    </row>
    <row r="413" spans="2:13" x14ac:dyDescent="0.3">
      <c r="B413">
        <v>411</v>
      </c>
      <c r="C413">
        <f t="shared" si="6"/>
        <v>2.1330181365507705</v>
      </c>
      <c r="D413">
        <f>Tableau1[[#This Row],[d1]]-$R$4*SQRT($O$4)</f>
        <v>1.2330181365507706</v>
      </c>
      <c r="E413">
        <f>NORMSDIST(Tableau1[[#This Row],[d1]])</f>
        <v>0.98353838078175049</v>
      </c>
      <c r="F413">
        <f>NORMSDIST(Tableau1[[#This Row],[d2]])</f>
        <v>0.89121550115826897</v>
      </c>
      <c r="G413">
        <f>Tableau1[[#This Row],[P]]*Tableau1[[#This Row],[N(d1)]]-$P$4*EXP(-$N$4*$O$4)*Tableau1[[#This Row],[N(d2)]]</f>
        <v>323.69798571537439</v>
      </c>
      <c r="L413">
        <f>MAX(Tableau1[[#This Row],[P]]-$P$4)-Tableau1[[#This Row],[C]]</f>
        <v>-7.6979857153743865</v>
      </c>
      <c r="M413">
        <f xml:space="preserve"> Tableau1[[#This Row],[C]] - 0.5 * (-50) * (Tableau1[[#This Row],[P]] - $P$4)</f>
        <v>8223.6979857153747</v>
      </c>
    </row>
    <row r="414" spans="2:13" x14ac:dyDescent="0.3">
      <c r="B414">
        <v>412</v>
      </c>
      <c r="C414">
        <f t="shared" si="6"/>
        <v>2.1357182863877617</v>
      </c>
      <c r="D414">
        <f>Tableau1[[#This Row],[d1]]-$R$4*SQRT($O$4)</f>
        <v>1.2357182863877618</v>
      </c>
      <c r="E414">
        <f>NORMSDIST(Tableau1[[#This Row],[d1]])</f>
        <v>0.98364880850972258</v>
      </c>
      <c r="F414">
        <f>NORMSDIST(Tableau1[[#This Row],[d2]])</f>
        <v>0.89171835106568276</v>
      </c>
      <c r="G414">
        <f>Tableau1[[#This Row],[P]]*Tableau1[[#This Row],[N(d1)]]-$P$4*EXP(-$N$4*$O$4)*Tableau1[[#This Row],[N(d2)]]</f>
        <v>324.68157938541685</v>
      </c>
      <c r="L414">
        <f>MAX(Tableau1[[#This Row],[P]]-$P$4)-Tableau1[[#This Row],[C]]</f>
        <v>-7.6815793854168533</v>
      </c>
      <c r="M414">
        <f xml:space="preserve"> Tableau1[[#This Row],[C]] - 0.5 * (-50) * (Tableau1[[#This Row],[P]] - $P$4)</f>
        <v>8249.6815793854166</v>
      </c>
    </row>
    <row r="415" spans="2:13" x14ac:dyDescent="0.3">
      <c r="B415">
        <v>413</v>
      </c>
      <c r="C415">
        <f t="shared" si="6"/>
        <v>2.1384118904005467</v>
      </c>
      <c r="D415">
        <f>Tableau1[[#This Row],[d1]]-$R$4*SQRT($O$4)</f>
        <v>1.2384118904005468</v>
      </c>
      <c r="E415">
        <f>NORMSDIST(Tableau1[[#This Row],[d1]])</f>
        <v>0.98375833586158201</v>
      </c>
      <c r="F415">
        <f>NORMSDIST(Tableau1[[#This Row],[d2]])</f>
        <v>0.8922183130020469</v>
      </c>
      <c r="G415">
        <f>Tableau1[[#This Row],[P]]*Tableau1[[#This Row],[N(d1)]]-$P$4*EXP(-$N$4*$O$4)*Tableau1[[#This Row],[N(d2)]]</f>
        <v>325.66528303226954</v>
      </c>
      <c r="L415">
        <f>MAX(Tableau1[[#This Row],[P]]-$P$4)-Tableau1[[#This Row],[C]]</f>
        <v>-7.6652830322695422</v>
      </c>
      <c r="M415">
        <f xml:space="preserve"> Tableau1[[#This Row],[C]] - 0.5 * (-50) * (Tableau1[[#This Row],[P]] - $P$4)</f>
        <v>8275.6652830322691</v>
      </c>
    </row>
    <row r="416" spans="2:13" x14ac:dyDescent="0.3">
      <c r="B416">
        <v>414</v>
      </c>
      <c r="C416">
        <f t="shared" si="6"/>
        <v>2.1410989802497484</v>
      </c>
      <c r="D416">
        <f>Tableau1[[#This Row],[d1]]-$R$4*SQRT($O$4)</f>
        <v>1.2410989802497485</v>
      </c>
      <c r="E416">
        <f>NORMSDIST(Tableau1[[#This Row],[d1]])</f>
        <v>0.98386697154481795</v>
      </c>
      <c r="F416">
        <f>NORMSDIST(Tableau1[[#This Row],[d2]])</f>
        <v>0.89271540688381734</v>
      </c>
      <c r="G416">
        <f>Tableau1[[#This Row],[P]]*Tableau1[[#This Row],[N(d1)]]-$P$4*EXP(-$N$4*$O$4)*Tableau1[[#This Row],[N(d2)]]</f>
        <v>326.64909575991828</v>
      </c>
      <c r="L416">
        <f>MAX(Tableau1[[#This Row],[P]]-$P$4)-Tableau1[[#This Row],[C]]</f>
        <v>-7.6490957599182821</v>
      </c>
      <c r="M416">
        <f xml:space="preserve"> Tableau1[[#This Row],[C]] - 0.5 * (-50) * (Tableau1[[#This Row],[P]] - $P$4)</f>
        <v>8301.6490957599181</v>
      </c>
    </row>
    <row r="417" spans="2:13" x14ac:dyDescent="0.3">
      <c r="B417">
        <v>415</v>
      </c>
      <c r="C417">
        <f t="shared" si="6"/>
        <v>2.1437795873668417</v>
      </c>
      <c r="D417">
        <f>Tableau1[[#This Row],[d1]]-$R$4*SQRT($O$4)</f>
        <v>1.2437795873668418</v>
      </c>
      <c r="E417">
        <f>NORMSDIST(Tableau1[[#This Row],[d1]])</f>
        <v>0.98397472416903153</v>
      </c>
      <c r="F417">
        <f>NORMSDIST(Tableau1[[#This Row],[d2]])</f>
        <v>0.89320965246752526</v>
      </c>
      <c r="G417">
        <f>Tableau1[[#This Row],[P]]*Tableau1[[#This Row],[N(d1)]]-$P$4*EXP(-$N$4*$O$4)*Tableau1[[#This Row],[N(d2)]]</f>
        <v>327.63301668100723</v>
      </c>
      <c r="L417">
        <f>MAX(Tableau1[[#This Row],[P]]-$P$4)-Tableau1[[#This Row],[C]]</f>
        <v>-7.6330166810072342</v>
      </c>
      <c r="M417">
        <f xml:space="preserve"> Tableau1[[#This Row],[C]] - 0.5 * (-50) * (Tableau1[[#This Row],[P]] - $P$4)</f>
        <v>8327.6330166810076</v>
      </c>
    </row>
    <row r="418" spans="2:13" x14ac:dyDescent="0.3">
      <c r="B418">
        <v>416</v>
      </c>
      <c r="C418">
        <f t="shared" si="6"/>
        <v>2.1464537429563584</v>
      </c>
      <c r="D418">
        <f>Tableau1[[#This Row],[d1]]-$R$4*SQRT($O$4)</f>
        <v>1.2464537429563585</v>
      </c>
      <c r="E418">
        <f>NORMSDIST(Tableau1[[#This Row],[d1]])</f>
        <v>0.98408160224719432</v>
      </c>
      <c r="F418">
        <f>NORMSDIST(Tableau1[[#This Row],[d2]])</f>
        <v>0.89370106935122662</v>
      </c>
      <c r="G418">
        <f>Tableau1[[#This Row],[P]]*Tableau1[[#This Row],[N(d1)]]-$P$4*EXP(-$N$4*$O$4)*Tableau1[[#This Row],[N(d2)]]</f>
        <v>328.61704491674209</v>
      </c>
      <c r="L418">
        <f>MAX(Tableau1[[#This Row],[P]]-$P$4)-Tableau1[[#This Row],[C]]</f>
        <v>-7.6170449167420884</v>
      </c>
      <c r="M418">
        <f xml:space="preserve"> Tableau1[[#This Row],[C]] - 0.5 * (-50) * (Tableau1[[#This Row],[P]] - $P$4)</f>
        <v>8353.6170449167421</v>
      </c>
    </row>
    <row r="419" spans="2:13" x14ac:dyDescent="0.3">
      <c r="B419">
        <v>417</v>
      </c>
      <c r="C419">
        <f t="shared" si="6"/>
        <v>2.1491214779980674</v>
      </c>
      <c r="D419">
        <f>Tableau1[[#This Row],[d1]]-$R$4*SQRT($O$4)</f>
        <v>1.2491214779980675</v>
      </c>
      <c r="E419">
        <f>NORMSDIST(Tableau1[[#This Row],[d1]])</f>
        <v>0.98418761419688705</v>
      </c>
      <c r="F419">
        <f>NORMSDIST(Tableau1[[#This Row],[d2]])</f>
        <v>0.89418967697593921</v>
      </c>
      <c r="G419">
        <f>Tableau1[[#This Row],[P]]*Tableau1[[#This Row],[N(d1)]]-$P$4*EXP(-$N$4*$O$4)*Tableau1[[#This Row],[N(d2)]]</f>
        <v>329.6011795967932</v>
      </c>
      <c r="L419">
        <f>MAX(Tableau1[[#This Row],[P]]-$P$4)-Tableau1[[#This Row],[C]]</f>
        <v>-7.6011795967932017</v>
      </c>
      <c r="M419">
        <f xml:space="preserve"> Tableau1[[#This Row],[C]] - 0.5 * (-50) * (Tableau1[[#This Row],[P]] - $P$4)</f>
        <v>8379.6011795967934</v>
      </c>
    </row>
    <row r="420" spans="2:13" x14ac:dyDescent="0.3">
      <c r="B420">
        <v>418</v>
      </c>
      <c r="C420">
        <f t="shared" si="6"/>
        <v>2.1517828232491283</v>
      </c>
      <c r="D420">
        <f>Tableau1[[#This Row],[d1]]-$R$4*SQRT($O$4)</f>
        <v>1.2517828232491284</v>
      </c>
      <c r="E420">
        <f>NORMSDIST(Tableau1[[#This Row],[d1]])</f>
        <v>0.98429276834152224</v>
      </c>
      <c r="F420">
        <f>NORMSDIST(Tableau1[[#This Row],[d2]])</f>
        <v>0.89467549462706475</v>
      </c>
      <c r="G420">
        <f>Tableau1[[#This Row],[P]]*Tableau1[[#This Row],[N(d1)]]-$P$4*EXP(-$N$4*$O$4)*Tableau1[[#This Row],[N(d2)]]</f>
        <v>330.58541985920181</v>
      </c>
      <c r="L420">
        <f>MAX(Tableau1[[#This Row],[P]]-$P$4)-Tableau1[[#This Row],[C]]</f>
        <v>-7.5854198592018065</v>
      </c>
      <c r="M420">
        <f xml:space="preserve"> Tableau1[[#This Row],[C]] - 0.5 * (-50) * (Tableau1[[#This Row],[P]] - $P$4)</f>
        <v>8405.5854198592024</v>
      </c>
    </row>
    <row r="421" spans="2:13" x14ac:dyDescent="0.3">
      <c r="B421">
        <v>419</v>
      </c>
      <c r="C421">
        <f t="shared" si="6"/>
        <v>2.1544378092462186</v>
      </c>
      <c r="D421">
        <f>Tableau1[[#This Row],[d1]]-$R$4*SQRT($O$4)</f>
        <v>1.2544378092462187</v>
      </c>
      <c r="E421">
        <f>NORMSDIST(Tableau1[[#This Row],[d1]])</f>
        <v>0.98439707291154777</v>
      </c>
      <c r="F421">
        <f>NORMSDIST(Tableau1[[#This Row],[d2]])</f>
        <v>0.89515854143579654</v>
      </c>
      <c r="G421">
        <f>Tableau1[[#This Row],[P]]*Tableau1[[#This Row],[N(d1)]]-$P$4*EXP(-$N$4*$O$4)*Tableau1[[#This Row],[N(d2)]]</f>
        <v>331.56976485028571</v>
      </c>
      <c r="L421">
        <f>MAX(Tableau1[[#This Row],[P]]-$P$4)-Tableau1[[#This Row],[C]]</f>
        <v>-7.5697648502857078</v>
      </c>
      <c r="M421">
        <f xml:space="preserve"> Tableau1[[#This Row],[C]] - 0.5 * (-50) * (Tableau1[[#This Row],[P]] - $P$4)</f>
        <v>8431.5697648502864</v>
      </c>
    </row>
    <row r="422" spans="2:13" x14ac:dyDescent="0.3">
      <c r="B422">
        <v>420</v>
      </c>
      <c r="C422">
        <f t="shared" si="6"/>
        <v>2.157086466307637</v>
      </c>
      <c r="D422">
        <f>Tableau1[[#This Row],[d1]]-$R$4*SQRT($O$4)</f>
        <v>1.2570864663076371</v>
      </c>
      <c r="E422">
        <f>NORMSDIST(Tableau1[[#This Row],[d1]])</f>
        <v>0.98450053604563381</v>
      </c>
      <c r="F422">
        <f>NORMSDIST(Tableau1[[#This Row],[d2]])</f>
        <v>0.89563883638051389</v>
      </c>
      <c r="G422">
        <f>Tableau1[[#This Row],[P]]*Tableau1[[#This Row],[N(d1)]]-$P$4*EXP(-$N$4*$O$4)*Tableau1[[#This Row],[N(d2)]]</f>
        <v>332.55421372454731</v>
      </c>
      <c r="L422">
        <f>MAX(Tableau1[[#This Row],[P]]-$P$4)-Tableau1[[#This Row],[C]]</f>
        <v>-7.55421372454731</v>
      </c>
      <c r="M422">
        <f xml:space="preserve"> Tableau1[[#This Row],[C]] - 0.5 * (-50) * (Tableau1[[#This Row],[P]] - $P$4)</f>
        <v>8457.5542137245466</v>
      </c>
    </row>
    <row r="423" spans="2:13" x14ac:dyDescent="0.3">
      <c r="B423">
        <v>421</v>
      </c>
      <c r="C423">
        <f t="shared" si="6"/>
        <v>2.1597288245353785</v>
      </c>
      <c r="D423">
        <f>Tableau1[[#This Row],[d1]]-$R$4*SQRT($O$4)</f>
        <v>1.2597288245353786</v>
      </c>
      <c r="E423">
        <f>NORMSDIST(Tableau1[[#This Row],[d1]])</f>
        <v>0.98460316579184248</v>
      </c>
      <c r="F423">
        <f>NORMSDIST(Tableau1[[#This Row],[d2]])</f>
        <v>0.89611639828816236</v>
      </c>
      <c r="G423">
        <f>Tableau1[[#This Row],[P]]*Tableau1[[#This Row],[N(d1)]]-$P$4*EXP(-$N$4*$O$4)*Tableau1[[#This Row],[N(d2)]]</f>
        <v>333.53876564458204</v>
      </c>
      <c r="L423">
        <f>MAX(Tableau1[[#This Row],[P]]-$P$4)-Tableau1[[#This Row],[C]]</f>
        <v>-7.5387656445820426</v>
      </c>
      <c r="M423">
        <f xml:space="preserve"> Tableau1[[#This Row],[C]] - 0.5 * (-50) * (Tableau1[[#This Row],[P]] - $P$4)</f>
        <v>8483.5387656445819</v>
      </c>
    </row>
    <row r="424" spans="2:13" x14ac:dyDescent="0.3">
      <c r="B424">
        <v>422</v>
      </c>
      <c r="C424">
        <f t="shared" si="6"/>
        <v>2.1623649138171896</v>
      </c>
      <c r="D424">
        <f>Tableau1[[#This Row],[d1]]-$R$4*SQRT($O$4)</f>
        <v>1.2623649138171897</v>
      </c>
      <c r="E424">
        <f>NORMSDIST(Tableau1[[#This Row],[d1]])</f>
        <v>0.98470497010878066</v>
      </c>
      <c r="F424">
        <f>NORMSDIST(Tableau1[[#This Row],[d2]])</f>
        <v>0.89659124583562066</v>
      </c>
      <c r="G424">
        <f>Tableau1[[#This Row],[P]]*Tableau1[[#This Row],[N(d1)]]-$P$4*EXP(-$N$4*$O$4)*Tableau1[[#This Row],[N(d2)]]</f>
        <v>334.52341978098883</v>
      </c>
      <c r="L424">
        <f>MAX(Tableau1[[#This Row],[P]]-$P$4)-Tableau1[[#This Row],[C]]</f>
        <v>-7.5234197809888315</v>
      </c>
      <c r="M424">
        <f xml:space="preserve"> Tableau1[[#This Row],[C]] - 0.5 * (-50) * (Tableau1[[#This Row],[P]] - $P$4)</f>
        <v>8509.5234197809896</v>
      </c>
    </row>
    <row r="425" spans="2:13" x14ac:dyDescent="0.3">
      <c r="B425">
        <v>423</v>
      </c>
      <c r="C425">
        <f t="shared" si="6"/>
        <v>2.1649947638285969</v>
      </c>
      <c r="D425">
        <f>Tableau1[[#This Row],[d1]]-$R$4*SQRT($O$4)</f>
        <v>1.264994763828597</v>
      </c>
      <c r="E425">
        <f>NORMSDIST(Tableau1[[#This Row],[d1]])</f>
        <v>0.98480595686673655</v>
      </c>
      <c r="F425">
        <f>NORMSDIST(Tableau1[[#This Row],[d2]])</f>
        <v>0.89706339755105347</v>
      </c>
      <c r="G425">
        <f>Tableau1[[#This Row],[P]]*Tableau1[[#This Row],[N(d1)]]-$P$4*EXP(-$N$4*$O$4)*Tableau1[[#This Row],[N(d2)]]</f>
        <v>335.50817531228085</v>
      </c>
      <c r="L425">
        <f>MAX(Tableau1[[#This Row],[P]]-$P$4)-Tableau1[[#This Row],[C]]</f>
        <v>-7.508175312280855</v>
      </c>
      <c r="M425">
        <f xml:space="preserve"> Tableau1[[#This Row],[C]] - 0.5 * (-50) * (Tableau1[[#This Row],[P]] - $P$4)</f>
        <v>8535.5081753122813</v>
      </c>
    </row>
    <row r="426" spans="2:13" x14ac:dyDescent="0.3">
      <c r="B426">
        <v>424</v>
      </c>
      <c r="C426">
        <f t="shared" si="6"/>
        <v>2.1676184040349078</v>
      </c>
      <c r="D426">
        <f>Tableau1[[#This Row],[d1]]-$R$4*SQRT($O$4)</f>
        <v>1.2676184040349079</v>
      </c>
      <c r="E426">
        <f>NORMSDIST(Tableau1[[#This Row],[d1]])</f>
        <v>0.98490613384879955</v>
      </c>
      <c r="F426">
        <f>NORMSDIST(Tableau1[[#This Row],[d2]])</f>
        <v>0.89753287181525154</v>
      </c>
      <c r="G426">
        <f>Tableau1[[#This Row],[P]]*Tableau1[[#This Row],[N(d1)]]-$P$4*EXP(-$N$4*$O$4)*Tableau1[[#This Row],[N(d2)]]</f>
        <v>336.493031424798</v>
      </c>
      <c r="L426">
        <f>MAX(Tableau1[[#This Row],[P]]-$P$4)-Tableau1[[#This Row],[C]]</f>
        <v>-7.493031424798005</v>
      </c>
      <c r="M426">
        <f xml:space="preserve"> Tableau1[[#This Row],[C]] - 0.5 * (-50) * (Tableau1[[#This Row],[P]] - $P$4)</f>
        <v>8561.4930314247977</v>
      </c>
    </row>
    <row r="427" spans="2:13" x14ac:dyDescent="0.3">
      <c r="B427">
        <v>425</v>
      </c>
      <c r="C427">
        <f t="shared" si="6"/>
        <v>2.1702358636931955</v>
      </c>
      <c r="D427">
        <f>Tableau1[[#This Row],[d1]]-$R$4*SQRT($O$4)</f>
        <v>1.2702358636931956</v>
      </c>
      <c r="E427">
        <f>NORMSDIST(Tableau1[[#This Row],[d1]])</f>
        <v>0.98500550875196413</v>
      </c>
      <c r="F427">
        <f>NORMSDIST(Tableau1[[#This Row],[d2]])</f>
        <v>0.89799968686295839</v>
      </c>
      <c r="G427">
        <f>Tableau1[[#This Row],[P]]*Tableau1[[#This Row],[N(d1)]]-$P$4*EXP(-$N$4*$O$4)*Tableau1[[#This Row],[N(d2)]]</f>
        <v>337.4779873126198</v>
      </c>
      <c r="L427">
        <f>MAX(Tableau1[[#This Row],[P]]-$P$4)-Tableau1[[#This Row],[C]]</f>
        <v>-7.4779873126198027</v>
      </c>
      <c r="M427">
        <f xml:space="preserve"> Tableau1[[#This Row],[C]] - 0.5 * (-50) * (Tableau1[[#This Row],[P]] - $P$4)</f>
        <v>8587.477987312619</v>
      </c>
    </row>
    <row r="428" spans="2:13" x14ac:dyDescent="0.3">
      <c r="B428">
        <v>426</v>
      </c>
      <c r="C428">
        <f t="shared" si="6"/>
        <v>2.1728471718542548</v>
      </c>
      <c r="D428">
        <f>Tableau1[[#This Row],[d1]]-$R$4*SQRT($O$4)</f>
        <v>1.2728471718542549</v>
      </c>
      <c r="E428">
        <f>NORMSDIST(Tableau1[[#This Row],[d1]])</f>
        <v>0.9851040891882189</v>
      </c>
      <c r="F428">
        <f>NORMSDIST(Tableau1[[#This Row],[d2]])</f>
        <v>0.89846386078418372</v>
      </c>
      <c r="G428">
        <f>Tableau1[[#This Row],[P]]*Tableau1[[#This Row],[N(d1)]]-$P$4*EXP(-$N$4*$O$4)*Tableau1[[#This Row],[N(d2)]]</f>
        <v>338.46304217748053</v>
      </c>
      <c r="L428">
        <f>MAX(Tableau1[[#This Row],[P]]-$P$4)-Tableau1[[#This Row],[C]]</f>
        <v>-7.4630421774805313</v>
      </c>
      <c r="M428">
        <f xml:space="preserve"> Tableau1[[#This Row],[C]] - 0.5 * (-50) * (Tableau1[[#This Row],[P]] - $P$4)</f>
        <v>8613.46304217748</v>
      </c>
    </row>
    <row r="429" spans="2:13" x14ac:dyDescent="0.3">
      <c r="B429">
        <v>427</v>
      </c>
      <c r="C429">
        <f t="shared" si="6"/>
        <v>2.1754523573645375</v>
      </c>
      <c r="D429">
        <f>Tableau1[[#This Row],[d1]]-$R$4*SQRT($O$4)</f>
        <v>1.2754523573645375</v>
      </c>
      <c r="E429">
        <f>NORMSDIST(Tableau1[[#This Row],[d1]])</f>
        <v>0.98520188268561859</v>
      </c>
      <c r="F429">
        <f>NORMSDIST(Tableau1[[#This Row],[d2]])</f>
        <v>0.89892541152550409</v>
      </c>
      <c r="G429">
        <f>Tableau1[[#This Row],[P]]*Tableau1[[#This Row],[N(d1)]]-$P$4*EXP(-$N$4*$O$4)*Tableau1[[#This Row],[N(d2)]]</f>
        <v>339.44819522868426</v>
      </c>
      <c r="L429">
        <f>MAX(Tableau1[[#This Row],[P]]-$P$4)-Tableau1[[#This Row],[C]]</f>
        <v>-7.4481952286842557</v>
      </c>
      <c r="M429">
        <f xml:space="preserve"> Tableau1[[#This Row],[C]] - 0.5 * (-50) * (Tableau1[[#This Row],[P]] - $P$4)</f>
        <v>8639.4481952286842</v>
      </c>
    </row>
    <row r="430" spans="2:13" x14ac:dyDescent="0.3">
      <c r="B430">
        <v>428</v>
      </c>
      <c r="C430">
        <f t="shared" si="6"/>
        <v>2.1780514488680622</v>
      </c>
      <c r="D430">
        <f>Tableau1[[#This Row],[d1]]-$R$4*SQRT($O$4)</f>
        <v>1.2780514488680623</v>
      </c>
      <c r="E430">
        <f>NORMSDIST(Tableau1[[#This Row],[d1]])</f>
        <v>0.9852988966893419</v>
      </c>
      <c r="F430">
        <f>NORMSDIST(Tableau1[[#This Row],[d2]])</f>
        <v>0.89938435689135043</v>
      </c>
      <c r="G430">
        <f>Tableau1[[#This Row],[P]]*Tableau1[[#This Row],[N(d1)]]-$P$4*EXP(-$N$4*$O$4)*Tableau1[[#This Row],[N(d2)]]</f>
        <v>340.43344568302143</v>
      </c>
      <c r="L430">
        <f>MAX(Tableau1[[#This Row],[P]]-$P$4)-Tableau1[[#This Row],[C]]</f>
        <v>-7.4334456830214322</v>
      </c>
      <c r="M430">
        <f xml:space="preserve"> Tableau1[[#This Row],[C]] - 0.5 * (-50) * (Tableau1[[#This Row],[P]] - $P$4)</f>
        <v>8665.433445683022</v>
      </c>
    </row>
    <row r="431" spans="2:13" x14ac:dyDescent="0.3">
      <c r="B431">
        <v>429</v>
      </c>
      <c r="C431">
        <f t="shared" si="6"/>
        <v>2.1806444748083069</v>
      </c>
      <c r="D431">
        <f>Tableau1[[#This Row],[d1]]-$R$4*SQRT($O$4)</f>
        <v>1.280644474808307</v>
      </c>
      <c r="E431">
        <f>NORMSDIST(Tableau1[[#This Row],[d1]])</f>
        <v>0.98539513856273442</v>
      </c>
      <c r="F431">
        <f>NORMSDIST(Tableau1[[#This Row],[d2]])</f>
        <v>0.89984071454528358</v>
      </c>
      <c r="G431">
        <f>Tableau1[[#This Row],[P]]*Tableau1[[#This Row],[N(d1)]]-$P$4*EXP(-$N$4*$O$4)*Tableau1[[#This Row],[N(d2)]]</f>
        <v>341.418792764687</v>
      </c>
      <c r="L431">
        <f>MAX(Tableau1[[#This Row],[P]]-$P$4)-Tableau1[[#This Row],[C]]</f>
        <v>-7.418792764686998</v>
      </c>
      <c r="M431">
        <f xml:space="preserve"> Tableau1[[#This Row],[C]] - 0.5 * (-50) * (Tableau1[[#This Row],[P]] - $P$4)</f>
        <v>8691.4187927646872</v>
      </c>
    </row>
    <row r="432" spans="2:13" x14ac:dyDescent="0.3">
      <c r="B432">
        <v>430</v>
      </c>
      <c r="C432">
        <f t="shared" si="6"/>
        <v>2.1832314634300749</v>
      </c>
      <c r="D432">
        <f>Tableau1[[#This Row],[d1]]-$R$4*SQRT($O$4)</f>
        <v>1.283231463430075</v>
      </c>
      <c r="E432">
        <f>NORMSDIST(Tableau1[[#This Row],[d1]])</f>
        <v>0.98549061558833573</v>
      </c>
      <c r="F432">
        <f>NORMSDIST(Tableau1[[#This Row],[d2]])</f>
        <v>0.90029450201125649</v>
      </c>
      <c r="G432">
        <f>Tableau1[[#This Row],[P]]*Tableau1[[#This Row],[N(d1)]]-$P$4*EXP(-$N$4*$O$4)*Tableau1[[#This Row],[N(d2)]]</f>
        <v>342.40423570519857</v>
      </c>
      <c r="L432">
        <f>MAX(Tableau1[[#This Row],[P]]-$P$4)-Tableau1[[#This Row],[C]]</f>
        <v>-7.4042357051985732</v>
      </c>
      <c r="M432">
        <f xml:space="preserve"> Tableau1[[#This Row],[C]] - 0.5 * (-50) * (Tableau1[[#This Row],[P]] - $P$4)</f>
        <v>8717.4042357051985</v>
      </c>
    </row>
    <row r="433" spans="2:13" x14ac:dyDescent="0.3">
      <c r="B433">
        <v>431</v>
      </c>
      <c r="C433">
        <f t="shared" si="6"/>
        <v>2.1858124427813412</v>
      </c>
      <c r="D433">
        <f>Tableau1[[#This Row],[d1]]-$R$4*SQRT($O$4)</f>
        <v>1.2858124427813413</v>
      </c>
      <c r="E433">
        <f>NORMSDIST(Tableau1[[#This Row],[d1]])</f>
        <v>0.98558533496889333</v>
      </c>
      <c r="F433">
        <f>NORMSDIST(Tableau1[[#This Row],[d2]])</f>
        <v>0.90074573667486479</v>
      </c>
      <c r="G433">
        <f>Tableau1[[#This Row],[P]]*Tableau1[[#This Row],[N(d1)]]-$P$4*EXP(-$N$4*$O$4)*Tableau1[[#This Row],[N(d2)]]</f>
        <v>343.3897737433162</v>
      </c>
      <c r="L433">
        <f>MAX(Tableau1[[#This Row],[P]]-$P$4)-Tableau1[[#This Row],[C]]</f>
        <v>-7.3897737433161979</v>
      </c>
      <c r="M433">
        <f xml:space="preserve"> Tableau1[[#This Row],[C]] - 0.5 * (-50) * (Tableau1[[#This Row],[P]] - $P$4)</f>
        <v>8743.3897737433163</v>
      </c>
    </row>
    <row r="434" spans="2:13" x14ac:dyDescent="0.3">
      <c r="B434">
        <v>432</v>
      </c>
      <c r="C434">
        <f t="shared" si="6"/>
        <v>2.1883874407150774</v>
      </c>
      <c r="D434">
        <f>Tableau1[[#This Row],[d1]]-$R$4*SQRT($O$4)</f>
        <v>1.2883874407150775</v>
      </c>
      <c r="E434">
        <f>NORMSDIST(Tableau1[[#This Row],[d1]])</f>
        <v>0.985679303828361</v>
      </c>
      <c r="F434">
        <f>NORMSDIST(Tableau1[[#This Row],[d2]])</f>
        <v>0.9011944357845838</v>
      </c>
      <c r="G434">
        <f>Tableau1[[#This Row],[P]]*Tableau1[[#This Row],[N(d1)]]-$P$4*EXP(-$N$4*$O$4)*Tableau1[[#This Row],[N(d2)]]</f>
        <v>344.37540612496349</v>
      </c>
      <c r="L434">
        <f>MAX(Tableau1[[#This Row],[P]]-$P$4)-Tableau1[[#This Row],[C]]</f>
        <v>-7.3754061249634901</v>
      </c>
      <c r="M434">
        <f xml:space="preserve"> Tableau1[[#This Row],[C]] - 0.5 * (-50) * (Tableau1[[#This Row],[P]] - $P$4)</f>
        <v>8769.3754061249638</v>
      </c>
    </row>
    <row r="435" spans="2:13" x14ac:dyDescent="0.3">
      <c r="B435">
        <v>433</v>
      </c>
      <c r="C435">
        <f t="shared" si="6"/>
        <v>2.1909564848910548</v>
      </c>
      <c r="D435">
        <f>Tableau1[[#This Row],[d1]]-$R$4*SQRT($O$4)</f>
        <v>1.2909564848910549</v>
      </c>
      <c r="E435">
        <f>NORMSDIST(Tableau1[[#This Row],[d1]])</f>
        <v>0.98577252921288383</v>
      </c>
      <c r="F435">
        <f>NORMSDIST(Tableau1[[#This Row],[d2]])</f>
        <v>0.90164061645299509</v>
      </c>
      <c r="G435">
        <f>Tableau1[[#This Row],[P]]*Tableau1[[#This Row],[N(d1)]]-$P$4*EXP(-$N$4*$O$4)*Tableau1[[#This Row],[N(d2)]]</f>
        <v>345.3611321031488</v>
      </c>
      <c r="L435">
        <f>MAX(Tableau1[[#This Row],[P]]-$P$4)-Tableau1[[#This Row],[C]]</f>
        <v>-7.3611321031488046</v>
      </c>
      <c r="M435">
        <f xml:space="preserve"> Tableau1[[#This Row],[C]] - 0.5 * (-50) * (Tableau1[[#This Row],[P]] - $P$4)</f>
        <v>8795.3611321031494</v>
      </c>
    </row>
    <row r="436" spans="2:13" x14ac:dyDescent="0.3">
      <c r="B436">
        <v>434</v>
      </c>
      <c r="C436">
        <f t="shared" si="6"/>
        <v>2.1935196027776267</v>
      </c>
      <c r="D436">
        <f>Tableau1[[#This Row],[d1]]-$R$4*SQRT($O$4)</f>
        <v>1.2935196027776268</v>
      </c>
      <c r="E436">
        <f>NORMSDIST(Tableau1[[#This Row],[d1]])</f>
        <v>0.9858650180917693</v>
      </c>
      <c r="F436">
        <f>NORMSDIST(Tableau1[[#This Row],[d2]])</f>
        <v>0.90208429565799952</v>
      </c>
      <c r="G436">
        <f>Tableau1[[#This Row],[P]]*Tableau1[[#This Row],[N(d1)]]-$P$4*EXP(-$N$4*$O$4)*Tableau1[[#This Row],[N(d2)]]</f>
        <v>346.34695093788827</v>
      </c>
      <c r="L436">
        <f>MAX(Tableau1[[#This Row],[P]]-$P$4)-Tableau1[[#This Row],[C]]</f>
        <v>-7.3469509378882663</v>
      </c>
      <c r="M436">
        <f xml:space="preserve"> Tableau1[[#This Row],[C]] - 0.5 * (-50) * (Tableau1[[#This Row],[P]] - $P$4)</f>
        <v>8821.3469509378883</v>
      </c>
    </row>
    <row r="437" spans="2:13" x14ac:dyDescent="0.3">
      <c r="B437">
        <v>435</v>
      </c>
      <c r="C437">
        <f t="shared" si="6"/>
        <v>2.1960768216534925</v>
      </c>
      <c r="D437">
        <f>Tableau1[[#This Row],[d1]]-$R$4*SQRT($O$4)</f>
        <v>1.2960768216534926</v>
      </c>
      <c r="E437">
        <f>NORMSDIST(Tableau1[[#This Row],[d1]])</f>
        <v>0.98595677735844423</v>
      </c>
      <c r="F437">
        <f>NORMSDIST(Tableau1[[#This Row],[d2]])</f>
        <v>0.90252549024401918</v>
      </c>
      <c r="G437">
        <f>Tableau1[[#This Row],[P]]*Tableau1[[#This Row],[N(d1)]]-$P$4*EXP(-$N$4*$O$4)*Tableau1[[#This Row],[N(d2)]]</f>
        <v>347.33286189612915</v>
      </c>
      <c r="L437">
        <f>MAX(Tableau1[[#This Row],[P]]-$P$4)-Tableau1[[#This Row],[C]]</f>
        <v>-7.3328618961291454</v>
      </c>
      <c r="M437">
        <f xml:space="preserve"> Tableau1[[#This Row],[C]] - 0.5 * (-50) * (Tableau1[[#This Row],[P]] - $P$4)</f>
        <v>8847.3328618961295</v>
      </c>
    </row>
    <row r="438" spans="2:13" x14ac:dyDescent="0.3">
      <c r="B438">
        <v>436</v>
      </c>
      <c r="C438">
        <f t="shared" si="6"/>
        <v>2.1986281686094373</v>
      </c>
      <c r="D438">
        <f>Tableau1[[#This Row],[d1]]-$R$4*SQRT($O$4)</f>
        <v>1.2986281686094374</v>
      </c>
      <c r="E438">
        <f>NORMSDIST(Tableau1[[#This Row],[d1]])</f>
        <v>0.98604781383139894</v>
      </c>
      <c r="F438">
        <f>NORMSDIST(Tableau1[[#This Row],[d2]])</f>
        <v>0.90296421692318751</v>
      </c>
      <c r="G438">
        <f>Tableau1[[#This Row],[P]]*Tableau1[[#This Row],[N(d1)]]-$P$4*EXP(-$N$4*$O$4)*Tableau1[[#This Row],[N(d2)]]</f>
        <v>348.31886425167465</v>
      </c>
      <c r="L438">
        <f>MAX(Tableau1[[#This Row],[P]]-$P$4)-Tableau1[[#This Row],[C]]</f>
        <v>-7.318864251674654</v>
      </c>
      <c r="M438">
        <f xml:space="preserve"> Tableau1[[#This Row],[C]] - 0.5 * (-50) * (Tableau1[[#This Row],[P]] - $P$4)</f>
        <v>8873.3188642516743</v>
      </c>
    </row>
    <row r="439" spans="2:13" x14ac:dyDescent="0.3">
      <c r="B439">
        <v>437</v>
      </c>
      <c r="C439">
        <f t="shared" si="6"/>
        <v>2.2011736705500549</v>
      </c>
      <c r="D439">
        <f>Tableau1[[#This Row],[d1]]-$R$4*SQRT($O$4)</f>
        <v>1.301173670550055</v>
      </c>
      <c r="E439">
        <f>NORMSDIST(Tableau1[[#This Row],[d1]])</f>
        <v>0.98613813425511809</v>
      </c>
      <c r="F439">
        <f>NORMSDIST(Tableau1[[#This Row],[d2]])</f>
        <v>0.90340049227652697</v>
      </c>
      <c r="G439">
        <f>Tableau1[[#This Row],[P]]*Tableau1[[#This Row],[N(d1)]]-$P$4*EXP(-$N$4*$O$4)*Tableau1[[#This Row],[N(d2)]]</f>
        <v>349.30495728510971</v>
      </c>
      <c r="L439">
        <f>MAX(Tableau1[[#This Row],[P]]-$P$4)-Tableau1[[#This Row],[C]]</f>
        <v>-7.3049572851097082</v>
      </c>
      <c r="M439">
        <f xml:space="preserve"> Tableau1[[#This Row],[C]] - 0.5 * (-50) * (Tableau1[[#This Row],[P]] - $P$4)</f>
        <v>8899.3049572851105</v>
      </c>
    </row>
    <row r="440" spans="2:13" x14ac:dyDescent="0.3">
      <c r="B440">
        <v>438</v>
      </c>
      <c r="C440">
        <f t="shared" si="6"/>
        <v>2.2037133541954503</v>
      </c>
      <c r="D440">
        <f>Tableau1[[#This Row],[d1]]-$R$4*SQRT($O$4)</f>
        <v>1.3037133541954504</v>
      </c>
      <c r="E440">
        <f>NORMSDIST(Tableau1[[#This Row],[d1]])</f>
        <v>0.98622774530099744</v>
      </c>
      <c r="F440">
        <f>NORMSDIST(Tableau1[[#This Row],[d2]])</f>
        <v>0.90383433275511638</v>
      </c>
      <c r="G440">
        <f>Tableau1[[#This Row],[P]]*Tableau1[[#This Row],[N(d1)]]-$P$4*EXP(-$N$4*$O$4)*Tableau1[[#This Row],[N(d2)]]</f>
        <v>350.29114028372646</v>
      </c>
      <c r="L440">
        <f>MAX(Tableau1[[#This Row],[P]]-$P$4)-Tableau1[[#This Row],[C]]</f>
        <v>-7.2911402837264632</v>
      </c>
      <c r="M440">
        <f xml:space="preserve"> Tableau1[[#This Row],[C]] - 0.5 * (-50) * (Tableau1[[#This Row],[P]] - $P$4)</f>
        <v>8925.2911402837271</v>
      </c>
    </row>
    <row r="441" spans="2:13" x14ac:dyDescent="0.3">
      <c r="B441">
        <v>439</v>
      </c>
      <c r="C441">
        <f t="shared" si="6"/>
        <v>2.2062472460829228</v>
      </c>
      <c r="D441">
        <f>Tableau1[[#This Row],[d1]]-$R$4*SQRT($O$4)</f>
        <v>1.3062472460829229</v>
      </c>
      <c r="E441">
        <f>NORMSDIST(Tableau1[[#This Row],[d1]])</f>
        <v>0.98631665356824982</v>
      </c>
      <c r="F441">
        <f>NORMSDIST(Tableau1[[#This Row],[d2]])</f>
        <v>0.9042657546812457</v>
      </c>
      <c r="G441">
        <f>Tableau1[[#This Row],[P]]*Tableau1[[#This Row],[N(d1)]]-$P$4*EXP(-$N$4*$O$4)*Tableau1[[#This Row],[N(d2)]]</f>
        <v>351.27741254145292</v>
      </c>
      <c r="L441">
        <f>MAX(Tableau1[[#This Row],[P]]-$P$4)-Tableau1[[#This Row],[C]]</f>
        <v>-7.277412541452918</v>
      </c>
      <c r="M441">
        <f xml:space="preserve"> Tableau1[[#This Row],[C]] - 0.5 * (-50) * (Tableau1[[#This Row],[P]] - $P$4)</f>
        <v>8951.2774125414526</v>
      </c>
    </row>
    <row r="442" spans="2:13" x14ac:dyDescent="0.3">
      <c r="B442">
        <v>440</v>
      </c>
      <c r="C442">
        <f t="shared" si="6"/>
        <v>2.208775372568629</v>
      </c>
      <c r="D442">
        <f>Tableau1[[#This Row],[d1]]-$R$4*SQRT($O$4)</f>
        <v>1.3087753725686291</v>
      </c>
      <c r="E442">
        <f>NORMSDIST(Tableau1[[#This Row],[d1]])</f>
        <v>0.98640486558479634</v>
      </c>
      <c r="F442">
        <f>NORMSDIST(Tableau1[[#This Row],[d2]])</f>
        <v>0.90469477424956046</v>
      </c>
      <c r="G442">
        <f>Tableau1[[#This Row],[P]]*Tableau1[[#This Row],[N(d1)]]-$P$4*EXP(-$N$4*$O$4)*Tableau1[[#This Row],[N(d2)]]</f>
        <v>352.26377335878021</v>
      </c>
      <c r="L442">
        <f>MAX(Tableau1[[#This Row],[P]]-$P$4)-Tableau1[[#This Row],[C]]</f>
        <v>-7.2637733587802131</v>
      </c>
      <c r="M442">
        <f xml:space="preserve"> Tableau1[[#This Row],[C]] - 0.5 * (-50) * (Tableau1[[#This Row],[P]] - $P$4)</f>
        <v>8977.2637733587799</v>
      </c>
    </row>
    <row r="443" spans="2:13" x14ac:dyDescent="0.3">
      <c r="B443">
        <v>441</v>
      </c>
      <c r="C443">
        <f t="shared" si="6"/>
        <v>2.211297759829228</v>
      </c>
      <c r="D443">
        <f>Tableau1[[#This Row],[d1]]-$R$4*SQRT($O$4)</f>
        <v>1.3112977598292281</v>
      </c>
      <c r="E443">
        <f>NORMSDIST(Tableau1[[#This Row],[d1]])</f>
        <v>0.98649238780814652</v>
      </c>
      <c r="F443">
        <f>NORMSDIST(Tableau1[[#This Row],[d2]])</f>
        <v>0.90512140752819403</v>
      </c>
      <c r="G443">
        <f>Tableau1[[#This Row],[P]]*Tableau1[[#This Row],[N(d1)]]-$P$4*EXP(-$N$4*$O$4)*Tableau1[[#This Row],[N(d2)]]</f>
        <v>353.25022204269214</v>
      </c>
      <c r="L443">
        <f>MAX(Tableau1[[#This Row],[P]]-$P$4)-Tableau1[[#This Row],[C]]</f>
        <v>-7.250222042692144</v>
      </c>
      <c r="M443">
        <f xml:space="preserve"> Tableau1[[#This Row],[C]] - 0.5 * (-50) * (Tableau1[[#This Row],[P]] - $P$4)</f>
        <v>9003.2502220426923</v>
      </c>
    </row>
    <row r="444" spans="2:13" x14ac:dyDescent="0.3">
      <c r="B444">
        <v>442</v>
      </c>
      <c r="C444">
        <f t="shared" si="6"/>
        <v>2.213814433863508</v>
      </c>
      <c r="D444">
        <f>Tableau1[[#This Row],[d1]]-$R$4*SQRT($O$4)</f>
        <v>1.313814433863508</v>
      </c>
      <c r="E444">
        <f>NORMSDIST(Tableau1[[#This Row],[d1]])</f>
        <v>0.98657922662626585</v>
      </c>
      <c r="F444">
        <f>NORMSDIST(Tableau1[[#This Row],[d2]])</f>
        <v>0.90554567045988965</v>
      </c>
      <c r="G444">
        <f>Tableau1[[#This Row],[P]]*Tableau1[[#This Row],[N(d1)]]-$P$4*EXP(-$N$4*$O$4)*Tableau1[[#This Row],[N(d2)]]</f>
        <v>354.23675790659547</v>
      </c>
      <c r="L444">
        <f>MAX(Tableau1[[#This Row],[P]]-$P$4)-Tableau1[[#This Row],[C]]</f>
        <v>-7.2367579065954715</v>
      </c>
      <c r="M444">
        <f xml:space="preserve"> Tableau1[[#This Row],[C]] - 0.5 * (-50) * (Tableau1[[#This Row],[P]] - $P$4)</f>
        <v>9029.2367579065958</v>
      </c>
    </row>
    <row r="445" spans="2:13" x14ac:dyDescent="0.3">
      <c r="B445">
        <v>443</v>
      </c>
      <c r="C445">
        <f t="shared" si="6"/>
        <v>2.2163254204939942</v>
      </c>
      <c r="D445">
        <f>Tableau1[[#This Row],[d1]]-$R$4*SQRT($O$4)</f>
        <v>1.3163254204939943</v>
      </c>
      <c r="E445">
        <f>NORMSDIST(Tableau1[[#This Row],[d1]])</f>
        <v>0.98666538835843132</v>
      </c>
      <c r="F445">
        <f>NORMSDIST(Tableau1[[#This Row],[d2]])</f>
        <v>0.90596757886311108</v>
      </c>
      <c r="G445">
        <f>Tableau1[[#This Row],[P]]*Tableau1[[#This Row],[N(d1)]]-$P$4*EXP(-$N$4*$O$4)*Tableau1[[#This Row],[N(d2)]]</f>
        <v>355.22338027025012</v>
      </c>
      <c r="L445">
        <f>MAX(Tableau1[[#This Row],[P]]-$P$4)-Tableau1[[#This Row],[C]]</f>
        <v>-7.223380270250118</v>
      </c>
      <c r="M445">
        <f xml:space="preserve"> Tableau1[[#This Row],[C]] - 0.5 * (-50) * (Tableau1[[#This Row],[P]] - $P$4)</f>
        <v>9055.2233802702503</v>
      </c>
    </row>
    <row r="446" spans="2:13" x14ac:dyDescent="0.3">
      <c r="B446">
        <v>444</v>
      </c>
      <c r="C446">
        <f t="shared" si="6"/>
        <v>2.2188307453685376</v>
      </c>
      <c r="D446">
        <f>Tableau1[[#This Row],[d1]]-$R$4*SQRT($O$4)</f>
        <v>1.3188307453685377</v>
      </c>
      <c r="E446">
        <f>NORMSDIST(Tableau1[[#This Row],[d1]])</f>
        <v>0.98675087925607485</v>
      </c>
      <c r="F446">
        <f>NORMSDIST(Tableau1[[#This Row],[d2]])</f>
        <v>0.9063871484331425</v>
      </c>
      <c r="G446">
        <f>Tableau1[[#This Row],[P]]*Tableau1[[#This Row],[N(d1)]]-$P$4*EXP(-$N$4*$O$4)*Tableau1[[#This Row],[N(d2)]]</f>
        <v>356.21008845970158</v>
      </c>
      <c r="L446">
        <f>MAX(Tableau1[[#This Row],[P]]-$P$4)-Tableau1[[#This Row],[C]]</f>
        <v>-7.2100884597015806</v>
      </c>
      <c r="M446">
        <f xml:space="preserve"> Tableau1[[#This Row],[C]] - 0.5 * (-50) * (Tableau1[[#This Row],[P]] - $P$4)</f>
        <v>9081.2100884597021</v>
      </c>
    </row>
    <row r="447" spans="2:13" x14ac:dyDescent="0.3">
      <c r="B447">
        <v>445</v>
      </c>
      <c r="C447">
        <f t="shared" si="6"/>
        <v>2.2213304339618882</v>
      </c>
      <c r="D447">
        <f>Tableau1[[#This Row],[d1]]-$R$4*SQRT($O$4)</f>
        <v>1.3213304339618883</v>
      </c>
      <c r="E447">
        <f>NORMSDIST(Tableau1[[#This Row],[d1]])</f>
        <v>0.98683570550361521</v>
      </c>
      <c r="F447">
        <f>NORMSDIST(Tableau1[[#This Row],[d2]])</f>
        <v>0.90680439474317776</v>
      </c>
      <c r="G447">
        <f>Tableau1[[#This Row],[P]]*Tableau1[[#This Row],[N(d1)]]-$P$4*EXP(-$N$4*$O$4)*Tableau1[[#This Row],[N(d2)]]</f>
        <v>357.196881807213</v>
      </c>
      <c r="L447">
        <f>MAX(Tableau1[[#This Row],[P]]-$P$4)-Tableau1[[#This Row],[C]]</f>
        <v>-7.1968818072130034</v>
      </c>
      <c r="M447">
        <f xml:space="preserve"> Tableau1[[#This Row],[C]] - 0.5 * (-50) * (Tableau1[[#This Row],[P]] - $P$4)</f>
        <v>9107.1968818072128</v>
      </c>
    </row>
    <row r="448" spans="2:13" x14ac:dyDescent="0.3">
      <c r="B448">
        <v>446</v>
      </c>
      <c r="C448">
        <f t="shared" si="6"/>
        <v>2.2238245115772477</v>
      </c>
      <c r="D448">
        <f>Tableau1[[#This Row],[d1]]-$R$4*SQRT($O$4)</f>
        <v>1.3238245115772478</v>
      </c>
      <c r="E448">
        <f>NORMSDIST(Tableau1[[#This Row],[d1]])</f>
        <v>0.98691987321927888</v>
      </c>
      <c r="F448">
        <f>NORMSDIST(Tableau1[[#This Row],[d2]])</f>
        <v>0.90721933324539838</v>
      </c>
      <c r="G448">
        <f>Tableau1[[#This Row],[P]]*Tableau1[[#This Row],[N(d1)]]-$P$4*EXP(-$N$4*$O$4)*Tableau1[[#This Row],[N(d2)]]</f>
        <v>358.1837596511989</v>
      </c>
      <c r="L448">
        <f>MAX(Tableau1[[#This Row],[P]]-$P$4)-Tableau1[[#This Row],[C]]</f>
        <v>-7.1837596511988977</v>
      </c>
      <c r="M448">
        <f xml:space="preserve"> Tableau1[[#This Row],[C]] - 0.5 * (-50) * (Tableau1[[#This Row],[P]] - $P$4)</f>
        <v>9133.1837596511996</v>
      </c>
    </row>
    <row r="449" spans="2:13" x14ac:dyDescent="0.3">
      <c r="B449">
        <v>447</v>
      </c>
      <c r="C449">
        <f t="shared" si="6"/>
        <v>2.2263130033478089</v>
      </c>
      <c r="D449">
        <f>Tableau1[[#This Row],[d1]]-$R$4*SQRT($O$4)</f>
        <v>1.326313003347809</v>
      </c>
      <c r="E449">
        <f>NORMSDIST(Tableau1[[#This Row],[d1]])</f>
        <v>0.98700338845590885</v>
      </c>
      <c r="F449">
        <f>NORMSDIST(Tableau1[[#This Row],[d2]])</f>
        <v>0.90763197927204253</v>
      </c>
      <c r="G449">
        <f>Tableau1[[#This Row],[P]]*Tableau1[[#This Row],[N(d1)]]-$P$4*EXP(-$N$4*$O$4)*Tableau1[[#This Row],[N(d2)]]</f>
        <v>359.17072133615932</v>
      </c>
      <c r="L449">
        <f>MAX(Tableau1[[#This Row],[P]]-$P$4)-Tableau1[[#This Row],[C]]</f>
        <v>-7.1707213361593176</v>
      </c>
      <c r="M449">
        <f xml:space="preserve"> Tableau1[[#This Row],[C]] - 0.5 * (-50) * (Tableau1[[#This Row],[P]] - $P$4)</f>
        <v>9159.1707213361587</v>
      </c>
    </row>
    <row r="450" spans="2:13" x14ac:dyDescent="0.3">
      <c r="B450">
        <v>448</v>
      </c>
      <c r="C450">
        <f t="shared" si="6"/>
        <v>2.2287959342382715</v>
      </c>
      <c r="D450">
        <f>Tableau1[[#This Row],[d1]]-$R$4*SQRT($O$4)</f>
        <v>1.3287959342382716</v>
      </c>
      <c r="E450">
        <f>NORMSDIST(Tableau1[[#This Row],[d1]])</f>
        <v>0.98708625720176246</v>
      </c>
      <c r="F450">
        <f>NORMSDIST(Tableau1[[#This Row],[d2]])</f>
        <v>0.90804234803646156</v>
      </c>
      <c r="G450">
        <f>Tableau1[[#This Row],[P]]*Tableau1[[#This Row],[N(d1)]]-$P$4*EXP(-$N$4*$O$4)*Tableau1[[#This Row],[N(d2)]]</f>
        <v>360.15776621261455</v>
      </c>
      <c r="L450">
        <f>MAX(Tableau1[[#This Row],[P]]-$P$4)-Tableau1[[#This Row],[C]]</f>
        <v>-7.1577662126145469</v>
      </c>
      <c r="M450">
        <f xml:space="preserve"> Tableau1[[#This Row],[C]] - 0.5 * (-50) * (Tableau1[[#This Row],[P]] - $P$4)</f>
        <v>9185.1577662126147</v>
      </c>
    </row>
    <row r="451" spans="2:13" x14ac:dyDescent="0.3">
      <c r="B451">
        <v>449</v>
      </c>
      <c r="C451">
        <f t="shared" ref="C451:C514" si="7" xml:space="preserve"> (LN($B451/$P$4) + ($N$4 + ($R$4^2)/2) * $O$4) / ($R$4 * SQRT($O$4))</f>
        <v>2.2312733290463482</v>
      </c>
      <c r="D451">
        <f>Tableau1[[#This Row],[d1]]-$R$4*SQRT($O$4)</f>
        <v>1.3312733290463483</v>
      </c>
      <c r="E451">
        <f>NORMSDIST(Tableau1[[#This Row],[d1]])</f>
        <v>0.98716848538129887</v>
      </c>
      <c r="F451">
        <f>NORMSDIST(Tableau1[[#This Row],[d2]])</f>
        <v>0.90845045463416807</v>
      </c>
      <c r="G451">
        <f>Tableau1[[#This Row],[P]]*Tableau1[[#This Row],[N(d1)]]-$P$4*EXP(-$N$4*$O$4)*Tableau1[[#This Row],[N(d2)]]</f>
        <v>361.14489363704138</v>
      </c>
      <c r="L451">
        <f>MAX(Tableau1[[#This Row],[P]]-$P$4)-Tableau1[[#This Row],[C]]</f>
        <v>-7.1448936370413776</v>
      </c>
      <c r="M451">
        <f xml:space="preserve"> Tableau1[[#This Row],[C]] - 0.5 * (-50) * (Tableau1[[#This Row],[P]] - $P$4)</f>
        <v>9211.1448936370416</v>
      </c>
    </row>
    <row r="452" spans="2:13" x14ac:dyDescent="0.3">
      <c r="B452">
        <v>450</v>
      </c>
      <c r="C452">
        <f t="shared" si="7"/>
        <v>2.2337452124042492</v>
      </c>
      <c r="D452">
        <f>Tableau1[[#This Row],[d1]]-$R$4*SQRT($O$4)</f>
        <v>1.3337452124042493</v>
      </c>
      <c r="E452">
        <f>NORMSDIST(Tableau1[[#This Row],[d1]])</f>
        <v>0.98725007885595528</v>
      </c>
      <c r="F452">
        <f>NORMSDIST(Tableau1[[#This Row],[d2]])</f>
        <v>0.90885631404387268</v>
      </c>
      <c r="G452">
        <f>Tableau1[[#This Row],[P]]*Tableau1[[#This Row],[N(d1)]]-$P$4*EXP(-$N$4*$O$4)*Tableau1[[#This Row],[N(d2)]]</f>
        <v>362.1321029718095</v>
      </c>
      <c r="L452">
        <f>MAX(Tableau1[[#This Row],[P]]-$P$4)-Tableau1[[#This Row],[C]]</f>
        <v>-7.1321029718095019</v>
      </c>
      <c r="M452">
        <f xml:space="preserve"> Tableau1[[#This Row],[C]] - 0.5 * (-50) * (Tableau1[[#This Row],[P]] - $P$4)</f>
        <v>9237.1321029718092</v>
      </c>
    </row>
    <row r="453" spans="2:13" x14ac:dyDescent="0.3">
      <c r="B453">
        <v>451</v>
      </c>
      <c r="C453">
        <f t="shared" si="7"/>
        <v>2.2362116087801529</v>
      </c>
      <c r="D453">
        <f>Tableau1[[#This Row],[d1]]-$R$4*SQRT($O$4)</f>
        <v>1.336211608780153</v>
      </c>
      <c r="E453">
        <f>NORMSDIST(Tableau1[[#This Row],[d1]])</f>
        <v>0.98733104342491196</v>
      </c>
      <c r="F453">
        <f>NORMSDIST(Tableau1[[#This Row],[d2]])</f>
        <v>0.90925994112851127</v>
      </c>
      <c r="G453">
        <f>Tableau1[[#This Row],[P]]*Tableau1[[#This Row],[N(d1)]]-$P$4*EXP(-$N$4*$O$4)*Tableau1[[#This Row],[N(d2)]]</f>
        <v>363.1193935851187</v>
      </c>
      <c r="L453">
        <f>MAX(Tableau1[[#This Row],[P]]-$P$4)-Tableau1[[#This Row],[C]]</f>
        <v>-7.1193935851187007</v>
      </c>
      <c r="M453">
        <f xml:space="preserve"> Tableau1[[#This Row],[C]] - 0.5 * (-50) * (Tableau1[[#This Row],[P]] - $P$4)</f>
        <v>9263.1193935851188</v>
      </c>
    </row>
    <row r="454" spans="2:13" x14ac:dyDescent="0.3">
      <c r="B454">
        <v>452</v>
      </c>
      <c r="C454">
        <f t="shared" si="7"/>
        <v>2.2386725424796556</v>
      </c>
      <c r="D454">
        <f>Tableau1[[#This Row],[d1]]-$R$4*SQRT($O$4)</f>
        <v>1.3386725424796557</v>
      </c>
      <c r="E454">
        <f>NORMSDIST(Tableau1[[#This Row],[d1]])</f>
        <v>0.98741138482584812</v>
      </c>
      <c r="F454">
        <f>NORMSDIST(Tableau1[[#This Row],[d2]])</f>
        <v>0.90966135063626175</v>
      </c>
      <c r="G454">
        <f>Tableau1[[#This Row],[P]]*Tableau1[[#This Row],[N(d1)]]-$P$4*EXP(-$N$4*$O$4)*Tableau1[[#This Row],[N(d2)]]</f>
        <v>364.10676485093734</v>
      </c>
      <c r="L454">
        <f>MAX(Tableau1[[#This Row],[P]]-$P$4)-Tableau1[[#This Row],[C]]</f>
        <v>-7.1067648509373385</v>
      </c>
      <c r="M454">
        <f xml:space="preserve"> Tableau1[[#This Row],[C]] - 0.5 * (-50) * (Tableau1[[#This Row],[P]] - $P$4)</f>
        <v>9289.1067648509379</v>
      </c>
    </row>
    <row r="455" spans="2:13" x14ac:dyDescent="0.3">
      <c r="B455">
        <v>453</v>
      </c>
      <c r="C455">
        <f t="shared" si="7"/>
        <v>2.2411280376472145</v>
      </c>
      <c r="D455">
        <f>Tableau1[[#This Row],[d1]]-$R$4*SQRT($O$4)</f>
        <v>1.3411280376472146</v>
      </c>
      <c r="E455">
        <f>NORMSDIST(Tableau1[[#This Row],[d1]])</f>
        <v>0.98749110873568591</v>
      </c>
      <c r="F455">
        <f>NORMSDIST(Tableau1[[#This Row],[d2]])</f>
        <v>0.91006055720155166</v>
      </c>
      <c r="G455">
        <f>Tableau1[[#This Row],[P]]*Tableau1[[#This Row],[N(d1)]]-$P$4*EXP(-$N$4*$O$4)*Tableau1[[#This Row],[N(d2)]]</f>
        <v>365.09421614894075</v>
      </c>
      <c r="L455">
        <f>MAX(Tableau1[[#This Row],[P]]-$P$4)-Tableau1[[#This Row],[C]]</f>
        <v>-7.0942161489407454</v>
      </c>
      <c r="M455">
        <f xml:space="preserve"> Tableau1[[#This Row],[C]] - 0.5 * (-50) * (Tableau1[[#This Row],[P]] - $P$4)</f>
        <v>9315.0942161489402</v>
      </c>
    </row>
    <row r="456" spans="2:13" x14ac:dyDescent="0.3">
      <c r="B456">
        <v>454</v>
      </c>
      <c r="C456">
        <f t="shared" si="7"/>
        <v>2.2435781182675636</v>
      </c>
      <c r="D456">
        <f>Tableau1[[#This Row],[d1]]-$R$4*SQRT($O$4)</f>
        <v>1.3435781182675637</v>
      </c>
      <c r="E456">
        <f>NORMSDIST(Tableau1[[#This Row],[d1]])</f>
        <v>0.98757022077132584</v>
      </c>
      <c r="F456">
        <f>NORMSDIST(Tableau1[[#This Row],[d2]])</f>
        <v>0.91045757534605487</v>
      </c>
      <c r="G456">
        <f>Tableau1[[#This Row],[P]]*Tableau1[[#This Row],[N(d1)]]-$P$4*EXP(-$N$4*$O$4)*Tableau1[[#This Row],[N(d2)]]</f>
        <v>366.08174686445136</v>
      </c>
      <c r="L456">
        <f>MAX(Tableau1[[#This Row],[P]]-$P$4)-Tableau1[[#This Row],[C]]</f>
        <v>-7.081746864451361</v>
      </c>
      <c r="M456">
        <f xml:space="preserve"> Tableau1[[#This Row],[C]] - 0.5 * (-50) * (Tableau1[[#This Row],[P]] - $P$4)</f>
        <v>9341.0817468644509</v>
      </c>
    </row>
    <row r="457" spans="2:13" x14ac:dyDescent="0.3">
      <c r="B457">
        <v>455</v>
      </c>
      <c r="C457">
        <f t="shared" si="7"/>
        <v>2.2460228081671216</v>
      </c>
      <c r="D457">
        <f>Tableau1[[#This Row],[d1]]-$R$4*SQRT($O$4)</f>
        <v>1.3460228081671217</v>
      </c>
      <c r="E457">
        <f>NORMSDIST(Tableau1[[#This Row],[d1]])</f>
        <v>0.98764872649037083</v>
      </c>
      <c r="F457">
        <f>NORMSDIST(Tableau1[[#This Row],[d2]])</f>
        <v>0.91085241947968021</v>
      </c>
      <c r="G457">
        <f>Tableau1[[#This Row],[P]]*Tableau1[[#This Row],[N(d1)]]-$P$4*EXP(-$N$4*$O$4)*Tableau1[[#This Row],[N(d2)]]</f>
        <v>367.06935638837848</v>
      </c>
      <c r="L457">
        <f>MAX(Tableau1[[#This Row],[P]]-$P$4)-Tableau1[[#This Row],[C]]</f>
        <v>-7.0693563883784805</v>
      </c>
      <c r="M457">
        <f xml:space="preserve"> Tableau1[[#This Row],[C]] - 0.5 * (-50) * (Tableau1[[#This Row],[P]] - $P$4)</f>
        <v>9367.0693563883779</v>
      </c>
    </row>
    <row r="458" spans="2:13" x14ac:dyDescent="0.3">
      <c r="B458">
        <v>456</v>
      </c>
      <c r="C458">
        <f t="shared" si="7"/>
        <v>2.2484621310153838</v>
      </c>
      <c r="D458">
        <f>Tableau1[[#This Row],[d1]]-$R$4*SQRT($O$4)</f>
        <v>1.3484621310153839</v>
      </c>
      <c r="E458">
        <f>NORMSDIST(Tableau1[[#This Row],[d1]])</f>
        <v>0.98772663139184158</v>
      </c>
      <c r="F458">
        <f>NORMSDIST(Tableau1[[#This Row],[d2]])</f>
        <v>0.91124510390154911</v>
      </c>
      <c r="G458">
        <f>Tableau1[[#This Row],[P]]*Tableau1[[#This Row],[N(d1)]]-$P$4*EXP(-$N$4*$O$4)*Tableau1[[#This Row],[N(d2)]]</f>
        <v>368.05704411716016</v>
      </c>
      <c r="L458">
        <f>MAX(Tableau1[[#This Row],[P]]-$P$4)-Tableau1[[#This Row],[C]]</f>
        <v>-7.0570441171601601</v>
      </c>
      <c r="M458">
        <f xml:space="preserve"> Tableau1[[#This Row],[C]] - 0.5 * (-50) * (Tableau1[[#This Row],[P]] - $P$4)</f>
        <v>9393.0570441171603</v>
      </c>
    </row>
    <row r="459" spans="2:13" x14ac:dyDescent="0.3">
      <c r="B459">
        <v>457</v>
      </c>
      <c r="C459">
        <f t="shared" si="7"/>
        <v>2.2508961103262934</v>
      </c>
      <c r="D459">
        <f>Tableau1[[#This Row],[d1]]-$R$4*SQRT($O$4)</f>
        <v>1.3508961103262935</v>
      </c>
      <c r="E459">
        <f>NORMSDIST(Tableau1[[#This Row],[d1]])</f>
        <v>0.98780394091688073</v>
      </c>
      <c r="F459">
        <f>NORMSDIST(Tableau1[[#This Row],[d2]])</f>
        <v>0.9116356428009641</v>
      </c>
      <c r="G459">
        <f>Tableau1[[#This Row],[P]]*Tableau1[[#This Row],[N(d1)]]-$P$4*EXP(-$N$4*$O$4)*Tableau1[[#This Row],[N(d2)]]</f>
        <v>369.04480945270404</v>
      </c>
      <c r="L459">
        <f>MAX(Tableau1[[#This Row],[P]]-$P$4)-Tableau1[[#This Row],[C]]</f>
        <v>-7.0448094527040439</v>
      </c>
      <c r="M459">
        <f xml:space="preserve"> Tableau1[[#This Row],[C]] - 0.5 * (-50) * (Tableau1[[#This Row],[P]] - $P$4)</f>
        <v>9419.0448094527037</v>
      </c>
    </row>
    <row r="460" spans="2:13" x14ac:dyDescent="0.3">
      <c r="B460">
        <v>458</v>
      </c>
      <c r="C460">
        <f t="shared" si="7"/>
        <v>2.2533247694596046</v>
      </c>
      <c r="D460">
        <f>Tableau1[[#This Row],[d1]]-$R$4*SQRT($O$4)</f>
        <v>1.3533247694596047</v>
      </c>
      <c r="E460">
        <f>NORMSDIST(Tableau1[[#This Row],[d1]])</f>
        <v>0.98788066044944933</v>
      </c>
      <c r="F460">
        <f>NORMSDIST(Tableau1[[#This Row],[d2]])</f>
        <v>0.9120240502583683</v>
      </c>
      <c r="G460">
        <f>Tableau1[[#This Row],[P]]*Tableau1[[#This Row],[N(d1)]]-$P$4*EXP(-$N$4*$O$4)*Tableau1[[#This Row],[N(d2)]]</f>
        <v>370.03265180233041</v>
      </c>
      <c r="L460">
        <f>MAX(Tableau1[[#This Row],[P]]-$P$4)-Tableau1[[#This Row],[C]]</f>
        <v>-7.0326518023304061</v>
      </c>
      <c r="M460">
        <f xml:space="preserve"> Tableau1[[#This Row],[C]] - 0.5 * (-50) * (Tableau1[[#This Row],[P]] - $P$4)</f>
        <v>9445.0326518023303</v>
      </c>
    </row>
    <row r="461" spans="2:13" x14ac:dyDescent="0.3">
      <c r="B461">
        <v>459</v>
      </c>
      <c r="C461">
        <f t="shared" si="7"/>
        <v>2.255748131622227</v>
      </c>
      <c r="D461">
        <f>Tableau1[[#This Row],[d1]]-$R$4*SQRT($O$4)</f>
        <v>1.3557481316222271</v>
      </c>
      <c r="E461">
        <f>NORMSDIST(Tableau1[[#This Row],[d1]])</f>
        <v>0.98795679531701264</v>
      </c>
      <c r="F461">
        <f>NORMSDIST(Tableau1[[#This Row],[d2]])</f>
        <v>0.91241034024629608</v>
      </c>
      <c r="G461">
        <f>Tableau1[[#This Row],[P]]*Tableau1[[#This Row],[N(d1)]]-$P$4*EXP(-$N$4*$O$4)*Tableau1[[#This Row],[N(d2)]]</f>
        <v>371.02057057871525</v>
      </c>
      <c r="L461">
        <f>MAX(Tableau1[[#This Row],[P]]-$P$4)-Tableau1[[#This Row],[C]]</f>
        <v>-7.020570578715251</v>
      </c>
      <c r="M461">
        <f xml:space="preserve"> Tableau1[[#This Row],[C]] - 0.5 * (-50) * (Tableau1[[#This Row],[P]] - $P$4)</f>
        <v>9471.0205705787157</v>
      </c>
    </row>
    <row r="462" spans="2:13" x14ac:dyDescent="0.3">
      <c r="B462">
        <v>460</v>
      </c>
      <c r="C462">
        <f t="shared" si="7"/>
        <v>2.2581662198695551</v>
      </c>
      <c r="D462">
        <f>Tableau1[[#This Row],[d1]]-$R$4*SQRT($O$4)</f>
        <v>1.3581662198695552</v>
      </c>
      <c r="E462">
        <f>NORMSDIST(Tableau1[[#This Row],[d1]])</f>
        <v>0.98803235079121643</v>
      </c>
      <c r="F462">
        <f>NORMSDIST(Tableau1[[#This Row],[d2]])</f>
        <v>0.9127945266303128</v>
      </c>
      <c r="G462">
        <f>Tableau1[[#This Row],[P]]*Tableau1[[#This Row],[N(d1)]]-$P$4*EXP(-$N$4*$O$4)*Tableau1[[#This Row],[N(d2)]]</f>
        <v>372.00856519983392</v>
      </c>
      <c r="L462">
        <f>MAX(Tableau1[[#This Row],[P]]-$P$4)-Tableau1[[#This Row],[C]]</f>
        <v>-7.0085651998339245</v>
      </c>
      <c r="M462">
        <f xml:space="preserve"> Tableau1[[#This Row],[C]] - 0.5 * (-50) * (Tableau1[[#This Row],[P]] - $P$4)</f>
        <v>9497.0085651998343</v>
      </c>
    </row>
    <row r="463" spans="2:13" x14ac:dyDescent="0.3">
      <c r="B463">
        <v>461</v>
      </c>
      <c r="C463">
        <f t="shared" si="7"/>
        <v>2.2605790571067863</v>
      </c>
      <c r="D463">
        <f>Tableau1[[#This Row],[d1]]-$R$4*SQRT($O$4)</f>
        <v>1.3605790571067864</v>
      </c>
      <c r="E463">
        <f>NORMSDIST(Tableau1[[#This Row],[d1]])</f>
        <v>0.98810733208855561</v>
      </c>
      <c r="F463">
        <f>NORMSDIST(Tableau1[[#This Row],[d2]])</f>
        <v>0.91317662316994752</v>
      </c>
      <c r="G463">
        <f>Tableau1[[#This Row],[P]]*Tableau1[[#This Row],[N(d1)]]-$P$4*EXP(-$N$4*$O$4)*Tableau1[[#This Row],[N(d2)]]</f>
        <v>372.99663508890598</v>
      </c>
      <c r="L463">
        <f>MAX(Tableau1[[#This Row],[P]]-$P$4)-Tableau1[[#This Row],[C]]</f>
        <v>-6.9966350889059754</v>
      </c>
      <c r="M463">
        <f xml:space="preserve"> Tableau1[[#This Row],[C]] - 0.5 * (-50) * (Tableau1[[#This Row],[P]] - $P$4)</f>
        <v>9522.9966350889063</v>
      </c>
    </row>
    <row r="464" spans="2:13" x14ac:dyDescent="0.3">
      <c r="B464">
        <v>462</v>
      </c>
      <c r="C464">
        <f t="shared" si="7"/>
        <v>2.26298666609022</v>
      </c>
      <c r="D464">
        <f>Tableau1[[#This Row],[d1]]-$R$4*SQRT($O$4)</f>
        <v>1.3629866660902201</v>
      </c>
      <c r="E464">
        <f>NORMSDIST(Tableau1[[#This Row],[d1]])</f>
        <v>0.98818174437103223</v>
      </c>
      <c r="F464">
        <f>NORMSDIST(Tableau1[[#This Row],[d2]])</f>
        <v>0.91355664351961485</v>
      </c>
      <c r="G464">
        <f>Tableau1[[#This Row],[P]]*Tableau1[[#This Row],[N(d1)]]-$P$4*EXP(-$N$4*$O$4)*Tableau1[[#This Row],[N(d2)]]</f>
        <v>373.98477967433996</v>
      </c>
      <c r="L464">
        <f>MAX(Tableau1[[#This Row],[P]]-$P$4)-Tableau1[[#This Row],[C]]</f>
        <v>-6.9847796743399613</v>
      </c>
      <c r="M464">
        <f xml:space="preserve"> Tableau1[[#This Row],[C]] - 0.5 * (-50) * (Tableau1[[#This Row],[P]] - $P$4)</f>
        <v>9548.9847796743397</v>
      </c>
    </row>
    <row r="465" spans="2:13" x14ac:dyDescent="0.3">
      <c r="B465">
        <v>463</v>
      </c>
      <c r="C465">
        <f t="shared" si="7"/>
        <v>2.2653890694285477</v>
      </c>
      <c r="D465">
        <f>Tableau1[[#This Row],[d1]]-$R$4*SQRT($O$4)</f>
        <v>1.3653890694285478</v>
      </c>
      <c r="E465">
        <f>NORMSDIST(Tableau1[[#This Row],[d1]])</f>
        <v>0.98825559274680552</v>
      </c>
      <c r="F465">
        <f>NORMSDIST(Tableau1[[#This Row],[d2]])</f>
        <v>0.91393460122952974</v>
      </c>
      <c r="G465">
        <f>Tableau1[[#This Row],[P]]*Tableau1[[#This Row],[N(d1)]]-$P$4*EXP(-$N$4*$O$4)*Tableau1[[#This Row],[N(d2)]]</f>
        <v>374.97299838967973</v>
      </c>
      <c r="L465">
        <f>MAX(Tableau1[[#This Row],[P]]-$P$4)-Tableau1[[#This Row],[C]]</f>
        <v>-6.9729983896797307</v>
      </c>
      <c r="M465">
        <f xml:space="preserve"> Tableau1[[#This Row],[C]] - 0.5 * (-50) * (Tableau1[[#This Row],[P]] - $P$4)</f>
        <v>9574.9729983896796</v>
      </c>
    </row>
    <row r="466" spans="2:13" x14ac:dyDescent="0.3">
      <c r="B466">
        <v>464</v>
      </c>
      <c r="C466">
        <f t="shared" si="7"/>
        <v>2.2677862895841274</v>
      </c>
      <c r="D466">
        <f>Tableau1[[#This Row],[d1]]-$R$4*SQRT($O$4)</f>
        <v>1.3677862895841275</v>
      </c>
      <c r="E466">
        <f>NORMSDIST(Tableau1[[#This Row],[d1]])</f>
        <v>0.98832888227083326</v>
      </c>
      <c r="F466">
        <f>NORMSDIST(Tableau1[[#This Row],[d2]])</f>
        <v>0.91431050974661243</v>
      </c>
      <c r="G466">
        <f>Tableau1[[#This Row],[P]]*Tableau1[[#This Row],[N(d1)]]-$P$4*EXP(-$N$4*$O$4)*Tableau1[[#This Row],[N(d2)]]</f>
        <v>375.96129067355031</v>
      </c>
      <c r="L466">
        <f>MAX(Tableau1[[#This Row],[P]]-$P$4)-Tableau1[[#This Row],[C]]</f>
        <v>-6.9612906735503088</v>
      </c>
      <c r="M466">
        <f xml:space="preserve"> Tableau1[[#This Row],[C]] - 0.5 * (-50) * (Tableau1[[#This Row],[P]] - $P$4)</f>
        <v>9600.961290673551</v>
      </c>
    </row>
    <row r="467" spans="2:13" x14ac:dyDescent="0.3">
      <c r="B467">
        <v>465</v>
      </c>
      <c r="C467">
        <f t="shared" si="7"/>
        <v>2.2701783488742389</v>
      </c>
      <c r="D467">
        <f>Tableau1[[#This Row],[d1]]-$R$4*SQRT($O$4)</f>
        <v>1.3701783488742389</v>
      </c>
      <c r="E467">
        <f>NORMSDIST(Tableau1[[#This Row],[d1]])</f>
        <v>0.98840161794550374</v>
      </c>
      <c r="F467">
        <f>NORMSDIST(Tableau1[[#This Row],[d2]])</f>
        <v>0.91468438241538363</v>
      </c>
      <c r="G467">
        <f>Tableau1[[#This Row],[P]]*Tableau1[[#This Row],[N(d1)]]-$P$4*EXP(-$N$4*$O$4)*Tableau1[[#This Row],[N(d2)]]</f>
        <v>376.94965596960549</v>
      </c>
      <c r="L467">
        <f>MAX(Tableau1[[#This Row],[P]]-$P$4)-Tableau1[[#This Row],[C]]</f>
        <v>-6.9496559696054874</v>
      </c>
      <c r="M467">
        <f xml:space="preserve"> Tableau1[[#This Row],[C]] - 0.5 * (-50) * (Tableau1[[#This Row],[P]] - $P$4)</f>
        <v>9626.9496559696054</v>
      </c>
    </row>
    <row r="468" spans="2:13" x14ac:dyDescent="0.3">
      <c r="B468">
        <v>466</v>
      </c>
      <c r="C468">
        <f t="shared" si="7"/>
        <v>2.2725652694723388</v>
      </c>
      <c r="D468">
        <f>Tableau1[[#This Row],[d1]]-$R$4*SQRT($O$4)</f>
        <v>1.3725652694723389</v>
      </c>
      <c r="E468">
        <f>NORMSDIST(Tableau1[[#This Row],[d1]])</f>
        <v>0.98847380472126067</v>
      </c>
      <c r="F468">
        <f>NORMSDIST(Tableau1[[#This Row],[d2]])</f>
        <v>0.91505623247885404</v>
      </c>
      <c r="G468">
        <f>Tableau1[[#This Row],[P]]*Tableau1[[#This Row],[N(d1)]]-$P$4*EXP(-$N$4*$O$4)*Tableau1[[#This Row],[N(d2)]]</f>
        <v>377.93809372647553</v>
      </c>
      <c r="L468">
        <f>MAX(Tableau1[[#This Row],[P]]-$P$4)-Tableau1[[#This Row],[C]]</f>
        <v>-6.9380937264755289</v>
      </c>
      <c r="M468">
        <f xml:space="preserve"> Tableau1[[#This Row],[C]] - 0.5 * (-50) * (Tableau1[[#This Row],[P]] - $P$4)</f>
        <v>9652.9380937264759</v>
      </c>
    </row>
    <row r="469" spans="2:13" x14ac:dyDescent="0.3">
      <c r="B469">
        <v>467</v>
      </c>
      <c r="C469">
        <f t="shared" si="7"/>
        <v>2.2749470734092849</v>
      </c>
      <c r="D469">
        <f>Tableau1[[#This Row],[d1]]-$R$4*SQRT($O$4)</f>
        <v>1.374947073409285</v>
      </c>
      <c r="E469">
        <f>NORMSDIST(Tableau1[[#This Row],[d1]])</f>
        <v>0.98854544749721807</v>
      </c>
      <c r="F469">
        <f>NORMSDIST(Tableau1[[#This Row],[d2]])</f>
        <v>0.91542607307940216</v>
      </c>
      <c r="G469">
        <f>Tableau1[[#This Row],[P]]*Tableau1[[#This Row],[N(d1)]]-$P$4*EXP(-$N$4*$O$4)*Tableau1[[#This Row],[N(d2)]]</f>
        <v>378.92660339771533</v>
      </c>
      <c r="L469">
        <f>MAX(Tableau1[[#This Row],[P]]-$P$4)-Tableau1[[#This Row],[C]]</f>
        <v>-6.9266033977153256</v>
      </c>
      <c r="M469">
        <f xml:space="preserve"> Tableau1[[#This Row],[C]] - 0.5 * (-50) * (Tableau1[[#This Row],[P]] - $P$4)</f>
        <v>9678.9266033977146</v>
      </c>
    </row>
    <row r="470" spans="2:13" x14ac:dyDescent="0.3">
      <c r="B470">
        <v>468</v>
      </c>
      <c r="C470">
        <f t="shared" si="7"/>
        <v>2.277323782574562</v>
      </c>
      <c r="D470">
        <f>Tableau1[[#This Row],[d1]]-$R$4*SQRT($O$4)</f>
        <v>1.3773237825745621</v>
      </c>
      <c r="E470">
        <f>NORMSDIST(Tableau1[[#This Row],[d1]])</f>
        <v>0.98861655112176794</v>
      </c>
      <c r="F470">
        <f>NORMSDIST(Tableau1[[#This Row],[d2]])</f>
        <v>0.91579391725964554</v>
      </c>
      <c r="G470">
        <f>Tableau1[[#This Row],[P]]*Tableau1[[#This Row],[N(d1)]]-$P$4*EXP(-$N$4*$O$4)*Tableau1[[#This Row],[N(d2)]]</f>
        <v>379.91518444175341</v>
      </c>
      <c r="L470">
        <f>MAX(Tableau1[[#This Row],[P]]-$P$4)-Tableau1[[#This Row],[C]]</f>
        <v>-6.9151844417534107</v>
      </c>
      <c r="M470">
        <f xml:space="preserve"> Tableau1[[#This Row],[C]] - 0.5 * (-50) * (Tableau1[[#This Row],[P]] - $P$4)</f>
        <v>9704.9151844417538</v>
      </c>
    </row>
    <row r="471" spans="2:13" x14ac:dyDescent="0.3">
      <c r="B471">
        <v>469</v>
      </c>
      <c r="C471">
        <f t="shared" si="7"/>
        <v>2.2796954187174872</v>
      </c>
      <c r="D471">
        <f>Tableau1[[#This Row],[d1]]-$R$4*SQRT($O$4)</f>
        <v>1.3796954187174872</v>
      </c>
      <c r="E471">
        <f>NORMSDIST(Tableau1[[#This Row],[d1]])</f>
        <v>0.98868712039318019</v>
      </c>
      <c r="F471">
        <f>NORMSDIST(Tableau1[[#This Row],[d2]])</f>
        <v>0.91615977796330317</v>
      </c>
      <c r="G471">
        <f>Tableau1[[#This Row],[P]]*Tableau1[[#This Row],[N(d1)]]-$P$4*EXP(-$N$4*$O$4)*Tableau1[[#This Row],[N(d2)]]</f>
        <v>380.90383632184171</v>
      </c>
      <c r="L471">
        <f>MAX(Tableau1[[#This Row],[P]]-$P$4)-Tableau1[[#This Row],[C]]</f>
        <v>-6.9038363218417089</v>
      </c>
      <c r="M471">
        <f xml:space="preserve"> Tableau1[[#This Row],[C]] - 0.5 * (-50) * (Tableau1[[#This Row],[P]] - $P$4)</f>
        <v>9730.9038363218424</v>
      </c>
    </row>
    <row r="472" spans="2:13" x14ac:dyDescent="0.3">
      <c r="B472">
        <v>470</v>
      </c>
      <c r="C472">
        <f t="shared" si="7"/>
        <v>2.282062003448404</v>
      </c>
      <c r="D472">
        <f>Tableau1[[#This Row],[d1]]-$R$4*SQRT($O$4)</f>
        <v>1.3820620034484041</v>
      </c>
      <c r="E472">
        <f>NORMSDIST(Tableau1[[#This Row],[d1]])</f>
        <v>0.98875716006019354</v>
      </c>
      <c r="F472">
        <f>NORMSDIST(Tableau1[[#This Row],[d2]])</f>
        <v>0.91652366803604957</v>
      </c>
      <c r="G472">
        <f>Tableau1[[#This Row],[P]]*Tableau1[[#This Row],[N(d1)]]-$P$4*EXP(-$N$4*$O$4)*Tableau1[[#This Row],[N(d2)]]</f>
        <v>381.89255850600557</v>
      </c>
      <c r="L472">
        <f>MAX(Tableau1[[#This Row],[P]]-$P$4)-Tableau1[[#This Row],[C]]</f>
        <v>-6.892558506005571</v>
      </c>
      <c r="M472">
        <f xml:space="preserve"> Tableau1[[#This Row],[C]] - 0.5 * (-50) * (Tableau1[[#This Row],[P]] - $P$4)</f>
        <v>9756.892558506006</v>
      </c>
    </row>
    <row r="473" spans="2:13" x14ac:dyDescent="0.3">
      <c r="B473">
        <v>471</v>
      </c>
      <c r="C473">
        <f t="shared" si="7"/>
        <v>2.2844235582398631</v>
      </c>
      <c r="D473">
        <f>Tableau1[[#This Row],[d1]]-$R$4*SQRT($O$4)</f>
        <v>1.3844235582398632</v>
      </c>
      <c r="E473">
        <f>NORMSDIST(Tableau1[[#This Row],[d1]])</f>
        <v>0.98882667482259901</v>
      </c>
      <c r="F473">
        <f>NORMSDIST(Tableau1[[#This Row],[d2]])</f>
        <v>0.91688560022636056</v>
      </c>
      <c r="G473">
        <f>Tableau1[[#This Row],[P]]*Tableau1[[#This Row],[N(d1)]]-$P$4*EXP(-$N$4*$O$4)*Tableau1[[#This Row],[N(d2)]]</f>
        <v>382.88135046699438</v>
      </c>
      <c r="L473">
        <f>MAX(Tableau1[[#This Row],[P]]-$P$4)-Tableau1[[#This Row],[C]]</f>
        <v>-6.8813504669943768</v>
      </c>
      <c r="M473">
        <f xml:space="preserve"> Tableau1[[#This Row],[C]] - 0.5 * (-50) * (Tableau1[[#This Row],[P]] - $P$4)</f>
        <v>9782.8813504669943</v>
      </c>
    </row>
    <row r="474" spans="2:13" x14ac:dyDescent="0.3">
      <c r="B474">
        <v>472</v>
      </c>
      <c r="C474">
        <f t="shared" si="7"/>
        <v>2.2867801044277942</v>
      </c>
      <c r="D474">
        <f>Tableau1[[#This Row],[d1]]-$R$4*SQRT($O$4)</f>
        <v>1.3867801044277943</v>
      </c>
      <c r="E474">
        <f>NORMSDIST(Tableau1[[#This Row],[d1]])</f>
        <v>0.98889566933181638</v>
      </c>
      <c r="F474">
        <f>NORMSDIST(Tableau1[[#This Row],[d2]])</f>
        <v>0.91724558718635141</v>
      </c>
      <c r="G474">
        <f>Tableau1[[#This Row],[P]]*Tableau1[[#This Row],[N(d1)]]-$P$4*EXP(-$N$4*$O$4)*Tableau1[[#This Row],[N(d2)]]</f>
        <v>383.87021168223356</v>
      </c>
      <c r="L474">
        <f>MAX(Tableau1[[#This Row],[P]]-$P$4)-Tableau1[[#This Row],[C]]</f>
        <v>-6.8702116822335597</v>
      </c>
      <c r="M474">
        <f xml:space="preserve"> Tableau1[[#This Row],[C]] - 0.5 * (-50) * (Tableau1[[#This Row],[P]] - $P$4)</f>
        <v>9808.8702116822333</v>
      </c>
    </row>
    <row r="475" spans="2:13" x14ac:dyDescent="0.3">
      <c r="B475">
        <v>473</v>
      </c>
      <c r="C475">
        <f t="shared" si="7"/>
        <v>2.2891316632126575</v>
      </c>
      <c r="D475">
        <f>Tableau1[[#This Row],[d1]]-$R$4*SQRT($O$4)</f>
        <v>1.3891316632126576</v>
      </c>
      <c r="E475">
        <f>NORMSDIST(Tableau1[[#This Row],[d1]])</f>
        <v>0.9889641481914615</v>
      </c>
      <c r="F475">
        <f>NORMSDIST(Tableau1[[#This Row],[d2]])</f>
        <v>0.91760364147260598</v>
      </c>
      <c r="G475">
        <f>Tableau1[[#This Row],[P]]*Tableau1[[#This Row],[N(d1)]]-$P$4*EXP(-$N$4*$O$4)*Tableau1[[#This Row],[N(d2)]]</f>
        <v>384.85914163377538</v>
      </c>
      <c r="L475">
        <f>MAX(Tableau1[[#This Row],[P]]-$P$4)-Tableau1[[#This Row],[C]]</f>
        <v>-6.8591416337753799</v>
      </c>
      <c r="M475">
        <f xml:space="preserve"> Tableau1[[#This Row],[C]] - 0.5 * (-50) * (Tableau1[[#This Row],[P]] - $P$4)</f>
        <v>9834.8591416337749</v>
      </c>
    </row>
    <row r="476" spans="2:13" x14ac:dyDescent="0.3">
      <c r="B476">
        <v>474</v>
      </c>
      <c r="C476">
        <f t="shared" si="7"/>
        <v>2.291478255660595</v>
      </c>
      <c r="D476">
        <f>Tableau1[[#This Row],[d1]]-$R$4*SQRT($O$4)</f>
        <v>1.3914782556605951</v>
      </c>
      <c r="E476">
        <f>NORMSDIST(Tableau1[[#This Row],[d1]])</f>
        <v>0.98903211595790796</v>
      </c>
      <c r="F476">
        <f>NORMSDIST(Tableau1[[#This Row],[d2]])</f>
        <v>0.91795977554699937</v>
      </c>
      <c r="G476">
        <f>Tableau1[[#This Row],[P]]*Tableau1[[#This Row],[N(d1)]]-$P$4*EXP(-$N$4*$O$4)*Tableau1[[#This Row],[N(d2)]]</f>
        <v>385.84813980825254</v>
      </c>
      <c r="L476">
        <f>MAX(Tableau1[[#This Row],[P]]-$P$4)-Tableau1[[#This Row],[C]]</f>
        <v>-6.8481398082525402</v>
      </c>
      <c r="M476">
        <f xml:space="preserve"> Tableau1[[#This Row],[C]] - 0.5 * (-50) * (Tableau1[[#This Row],[P]] - $P$4)</f>
        <v>9860.8481398082531</v>
      </c>
    </row>
    <row r="477" spans="2:13" x14ac:dyDescent="0.3">
      <c r="B477">
        <v>475</v>
      </c>
      <c r="C477">
        <f t="shared" si="7"/>
        <v>2.2938199027045556</v>
      </c>
      <c r="D477">
        <f>Tableau1[[#This Row],[d1]]-$R$4*SQRT($O$4)</f>
        <v>1.3938199027045557</v>
      </c>
      <c r="E477">
        <f>NORMSDIST(Tableau1[[#This Row],[d1]])</f>
        <v>0.98909957714083929</v>
      </c>
      <c r="F477">
        <f>NORMSDIST(Tableau1[[#This Row],[d2]])</f>
        <v>0.91831400177751143</v>
      </c>
      <c r="G477">
        <f>Tableau1[[#This Row],[P]]*Tableau1[[#This Row],[N(d1)]]-$P$4*EXP(-$N$4*$O$4)*Tableau1[[#This Row],[N(d2)]]</f>
        <v>386.83720569683055</v>
      </c>
      <c r="L477">
        <f>MAX(Tableau1[[#This Row],[P]]-$P$4)-Tableau1[[#This Row],[C]]</f>
        <v>-6.8372056968305515</v>
      </c>
      <c r="M477">
        <f xml:space="preserve"> Tableau1[[#This Row],[C]] - 0.5 * (-50) * (Tableau1[[#This Row],[P]] - $P$4)</f>
        <v>9886.837205696831</v>
      </c>
    </row>
    <row r="478" spans="2:13" x14ac:dyDescent="0.3">
      <c r="B478">
        <v>476</v>
      </c>
      <c r="C478">
        <f t="shared" si="7"/>
        <v>2.2961566251454211</v>
      </c>
      <c r="D478">
        <f>Tableau1[[#This Row],[d1]]-$R$4*SQRT($O$4)</f>
        <v>1.3961566251454212</v>
      </c>
      <c r="E478">
        <f>NORMSDIST(Tableau1[[#This Row],[d1]])</f>
        <v>0.98916653620379602</v>
      </c>
      <c r="F478">
        <f>NORMSDIST(Tableau1[[#This Row],[d2]])</f>
        <v>0.91866633243903284</v>
      </c>
      <c r="G478">
        <f>Tableau1[[#This Row],[P]]*Tableau1[[#This Row],[N(d1)]]-$P$4*EXP(-$N$4*$O$4)*Tableau1[[#This Row],[N(d2)]]</f>
        <v>387.82633879516146</v>
      </c>
      <c r="L478">
        <f>MAX(Tableau1[[#This Row],[P]]-$P$4)-Tableau1[[#This Row],[C]]</f>
        <v>-6.8263387951614618</v>
      </c>
      <c r="M478">
        <f xml:space="preserve"> Tableau1[[#This Row],[C]] - 0.5 * (-50) * (Tableau1[[#This Row],[P]] - $P$4)</f>
        <v>9912.8263387951611</v>
      </c>
    </row>
    <row r="479" spans="2:13" x14ac:dyDescent="0.3">
      <c r="B479">
        <v>477</v>
      </c>
      <c r="C479">
        <f t="shared" si="7"/>
        <v>2.2984884436531114</v>
      </c>
      <c r="D479">
        <f>Tableau1[[#This Row],[d1]]-$R$4*SQRT($O$4)</f>
        <v>1.3984884436531115</v>
      </c>
      <c r="E479">
        <f>NORMSDIST(Tableau1[[#This Row],[d1]])</f>
        <v>0.9892329975647135</v>
      </c>
      <c r="F479">
        <f>NORMSDIST(Tableau1[[#This Row],[d2]])</f>
        <v>0.91901677971416429</v>
      </c>
      <c r="G479">
        <f>Tableau1[[#This Row],[P]]*Tableau1[[#This Row],[N(d1)]]-$P$4*EXP(-$N$4*$O$4)*Tableau1[[#This Row],[N(d2)]]</f>
        <v>388.81553860333793</v>
      </c>
      <c r="L479">
        <f>MAX(Tableau1[[#This Row],[P]]-$P$4)-Tableau1[[#This Row],[C]]</f>
        <v>-6.8155386033379273</v>
      </c>
      <c r="M479">
        <f xml:space="preserve"> Tableau1[[#This Row],[C]] - 0.5 * (-50) * (Tableau1[[#This Row],[P]] - $P$4)</f>
        <v>9938.8155386033377</v>
      </c>
    </row>
    <row r="480" spans="2:13" x14ac:dyDescent="0.3">
      <c r="B480">
        <v>478</v>
      </c>
      <c r="C480">
        <f t="shared" si="7"/>
        <v>2.3008153787676831</v>
      </c>
      <c r="D480">
        <f>Tableau1[[#This Row],[d1]]-$R$4*SQRT($O$4)</f>
        <v>1.4008153787676831</v>
      </c>
      <c r="E480">
        <f>NORMSDIST(Tableau1[[#This Row],[d1]])</f>
        <v>0.98929896559645436</v>
      </c>
      <c r="F480">
        <f>NORMSDIST(Tableau1[[#This Row],[d2]])</f>
        <v>0.91936535569400668</v>
      </c>
      <c r="G480">
        <f>Tableau1[[#This Row],[P]]*Tableau1[[#This Row],[N(d1)]]-$P$4*EXP(-$N$4*$O$4)*Tableau1[[#This Row],[N(d2)]]</f>
        <v>389.80480462584831</v>
      </c>
      <c r="L480">
        <f>MAX(Tableau1[[#This Row],[P]]-$P$4)-Tableau1[[#This Row],[C]]</f>
        <v>-6.8048046258483055</v>
      </c>
      <c r="M480">
        <f xml:space="preserve"> Tableau1[[#This Row],[C]] - 0.5 * (-50) * (Tableau1[[#This Row],[P]] - $P$4)</f>
        <v>9964.8048046258482</v>
      </c>
    </row>
    <row r="481" spans="2:13" x14ac:dyDescent="0.3">
      <c r="B481">
        <v>479</v>
      </c>
      <c r="C481">
        <f t="shared" si="7"/>
        <v>2.3031374509004157</v>
      </c>
      <c r="D481">
        <f>Tableau1[[#This Row],[d1]]-$R$4*SQRT($O$4)</f>
        <v>1.4031374509004158</v>
      </c>
      <c r="E481">
        <f>NORMSDIST(Tableau1[[#This Row],[d1]])</f>
        <v>0.98936444462733286</v>
      </c>
      <c r="F481">
        <f>NORMSDIST(Tableau1[[#This Row],[d2]])</f>
        <v>0.91971207237894492</v>
      </c>
      <c r="G481">
        <f>Tableau1[[#This Row],[P]]*Tableau1[[#This Row],[N(d1)]]-$P$4*EXP(-$N$4*$O$4)*Tableau1[[#This Row],[N(d2)]]</f>
        <v>390.79413637153107</v>
      </c>
      <c r="L481">
        <f>MAX(Tableau1[[#This Row],[P]]-$P$4)-Tableau1[[#This Row],[C]]</f>
        <v>-6.7941363715310672</v>
      </c>
      <c r="M481">
        <f xml:space="preserve"> Tableau1[[#This Row],[C]] - 0.5 * (-50) * (Tableau1[[#This Row],[P]] - $P$4)</f>
        <v>9990.7941363715308</v>
      </c>
    </row>
    <row r="482" spans="2:13" x14ac:dyDescent="0.3">
      <c r="B482">
        <v>480</v>
      </c>
      <c r="C482">
        <f t="shared" si="7"/>
        <v>2.3054546803348837</v>
      </c>
      <c r="D482">
        <f>Tableau1[[#This Row],[d1]]-$R$4*SQRT($O$4)</f>
        <v>1.4054546803348837</v>
      </c>
      <c r="E482">
        <f>NORMSDIST(Tableau1[[#This Row],[d1]])</f>
        <v>0.98942943894163271</v>
      </c>
      <c r="F482">
        <f>NORMSDIST(Tableau1[[#This Row],[d2]])</f>
        <v>0.92005694167942353</v>
      </c>
      <c r="G482">
        <f>Tableau1[[#This Row],[P]]*Tableau1[[#This Row],[N(d1)]]-$P$4*EXP(-$N$4*$O$4)*Tableau1[[#This Row],[N(d2)]]</f>
        <v>391.7835333535312</v>
      </c>
      <c r="L482">
        <f>MAX(Tableau1[[#This Row],[P]]-$P$4)-Tableau1[[#This Row],[C]]</f>
        <v>-6.7835333535311975</v>
      </c>
      <c r="M482">
        <f xml:space="preserve"> Tableau1[[#This Row],[C]] - 0.5 * (-50) * (Tableau1[[#This Row],[P]] - $P$4)</f>
        <v>10016.783533353531</v>
      </c>
    </row>
    <row r="483" spans="2:13" x14ac:dyDescent="0.3">
      <c r="B483">
        <v>481</v>
      </c>
      <c r="C483">
        <f t="shared" si="7"/>
        <v>2.3077670872280227</v>
      </c>
      <c r="D483">
        <f>Tableau1[[#This Row],[d1]]-$R$4*SQRT($O$4)</f>
        <v>1.4077670872280228</v>
      </c>
      <c r="E483">
        <f>NORMSDIST(Tableau1[[#This Row],[d1]])</f>
        <v>0.98949395278011854</v>
      </c>
      <c r="F483">
        <f>NORMSDIST(Tableau1[[#This Row],[d2]])</f>
        <v>0.92039997541671581</v>
      </c>
      <c r="G483">
        <f>Tableau1[[#This Row],[P]]*Tableau1[[#This Row],[N(d1)]]-$P$4*EXP(-$N$4*$O$4)*Tableau1[[#This Row],[N(d2)]]</f>
        <v>392.7729950892562</v>
      </c>
      <c r="L483">
        <f>MAX(Tableau1[[#This Row],[P]]-$P$4)-Tableau1[[#This Row],[C]]</f>
        <v>-6.7729950892561988</v>
      </c>
      <c r="M483">
        <f xml:space="preserve"> Tableau1[[#This Row],[C]] - 0.5 * (-50) * (Tableau1[[#This Row],[P]] - $P$4)</f>
        <v>10042.772995089255</v>
      </c>
    </row>
    <row r="484" spans="2:13" x14ac:dyDescent="0.3">
      <c r="B484">
        <v>482</v>
      </c>
      <c r="C484">
        <f t="shared" si="7"/>
        <v>2.310074691611177</v>
      </c>
      <c r="D484">
        <f>Tableau1[[#This Row],[d1]]-$R$4*SQRT($O$4)</f>
        <v>1.410074691611177</v>
      </c>
      <c r="E484">
        <f>NORMSDIST(Tableau1[[#This Row],[d1]])</f>
        <v>0.98955799034053971</v>
      </c>
      <c r="F484">
        <f>NORMSDIST(Tableau1[[#This Row],[d2]])</f>
        <v>0.92074118532368388</v>
      </c>
      <c r="G484">
        <f>Tableau1[[#This Row],[P]]*Tableau1[[#This Row],[N(d1)]]-$P$4*EXP(-$N$4*$O$4)*Tableau1[[#This Row],[N(d2)]]</f>
        <v>393.76252110033261</v>
      </c>
      <c r="L484">
        <f>MAX(Tableau1[[#This Row],[P]]-$P$4)-Tableau1[[#This Row],[C]]</f>
        <v>-6.7625211003326058</v>
      </c>
      <c r="M484">
        <f xml:space="preserve"> Tableau1[[#This Row],[C]] - 0.5 * (-50) * (Tableau1[[#This Row],[P]] - $P$4)</f>
        <v>10068.762521100332</v>
      </c>
    </row>
    <row r="485" spans="2:13" x14ac:dyDescent="0.3">
      <c r="B485">
        <v>483</v>
      </c>
      <c r="C485">
        <f t="shared" si="7"/>
        <v>2.3123775133911466</v>
      </c>
      <c r="D485">
        <f>Tableau1[[#This Row],[d1]]-$R$4*SQRT($O$4)</f>
        <v>1.4123775133911467</v>
      </c>
      <c r="E485">
        <f>NORMSDIST(Tableau1[[#This Row],[d1]])</f>
        <v>0.9896215557781286</v>
      </c>
      <c r="F485">
        <f>NORMSDIST(Tableau1[[#This Row],[d2]])</f>
        <v>0.92108058304553431</v>
      </c>
      <c r="G485">
        <f>Tableau1[[#This Row],[P]]*Tableau1[[#This Row],[N(d1)]]-$P$4*EXP(-$N$4*$O$4)*Tableau1[[#This Row],[N(d2)]]</f>
        <v>394.75211091256347</v>
      </c>
      <c r="L485">
        <f>MAX(Tableau1[[#This Row],[P]]-$P$4)-Tableau1[[#This Row],[C]]</f>
        <v>-6.7521109125634666</v>
      </c>
      <c r="M485">
        <f xml:space="preserve"> Tableau1[[#This Row],[C]] - 0.5 * (-50) * (Tableau1[[#This Row],[P]] - $P$4)</f>
        <v>10094.752110912563</v>
      </c>
    </row>
    <row r="486" spans="2:13" x14ac:dyDescent="0.3">
      <c r="B486">
        <v>484</v>
      </c>
      <c r="C486">
        <f t="shared" si="7"/>
        <v>2.314675572351212</v>
      </c>
      <c r="D486">
        <f>Tableau1[[#This Row],[d1]]-$R$4*SQRT($O$4)</f>
        <v>1.4146755723512121</v>
      </c>
      <c r="E486">
        <f>NORMSDIST(Tableau1[[#This Row],[d1]])</f>
        <v>0.98968465320609178</v>
      </c>
      <c r="F486">
        <f>NORMSDIST(Tableau1[[#This Row],[d2]])</f>
        <v>0.92141818014056343</v>
      </c>
      <c r="G486">
        <f>Tableau1[[#This Row],[P]]*Tableau1[[#This Row],[N(d1)]]-$P$4*EXP(-$N$4*$O$4)*Tableau1[[#This Row],[N(d2)]]</f>
        <v>395.74176405588611</v>
      </c>
      <c r="L486">
        <f>MAX(Tableau1[[#This Row],[P]]-$P$4)-Tableau1[[#This Row],[C]]</f>
        <v>-6.7417640558861081</v>
      </c>
      <c r="M486">
        <f xml:space="preserve"> Tableau1[[#This Row],[C]] - 0.5 * (-50) * (Tableau1[[#This Row],[P]] - $P$4)</f>
        <v>10120.741764055887</v>
      </c>
    </row>
    <row r="487" spans="2:13" x14ac:dyDescent="0.3">
      <c r="B487">
        <v>485</v>
      </c>
      <c r="C487">
        <f t="shared" si="7"/>
        <v>2.3169688881521577</v>
      </c>
      <c r="D487">
        <f>Tableau1[[#This Row],[d1]]-$R$4*SQRT($O$4)</f>
        <v>1.4169688881521578</v>
      </c>
      <c r="E487">
        <f>NORMSDIST(Tableau1[[#This Row],[d1]])</f>
        <v>0.98974728669609491</v>
      </c>
      <c r="F487">
        <f>NORMSDIST(Tableau1[[#This Row],[d2]])</f>
        <v>0.92175398808089781</v>
      </c>
      <c r="G487">
        <f>Tableau1[[#This Row],[P]]*Tableau1[[#This Row],[N(d1)]]-$P$4*EXP(-$N$4*$O$4)*Tableau1[[#This Row],[N(d2)]]</f>
        <v>396.73148006433019</v>
      </c>
      <c r="L487">
        <f>MAX(Tableau1[[#This Row],[P]]-$P$4)-Tableau1[[#This Row],[C]]</f>
        <v>-6.7314800643301851</v>
      </c>
      <c r="M487">
        <f xml:space="preserve"> Tableau1[[#This Row],[C]] - 0.5 * (-50) * (Tableau1[[#This Row],[P]] - $P$4)</f>
        <v>10146.731480064331</v>
      </c>
    </row>
    <row r="488" spans="2:13" x14ac:dyDescent="0.3">
      <c r="B488">
        <v>486</v>
      </c>
      <c r="C488">
        <f t="shared" si="7"/>
        <v>2.3192574803332811</v>
      </c>
      <c r="D488">
        <f>Tableau1[[#This Row],[d1]]-$R$4*SQRT($O$4)</f>
        <v>1.4192574803332811</v>
      </c>
      <c r="E488">
        <f>NORMSDIST(Tableau1[[#This Row],[d1]])</f>
        <v>0.98980946027874139</v>
      </c>
      <c r="F488">
        <f>NORMSDIST(Tableau1[[#This Row],[d2]])</f>
        <v>0.92208801825322717</v>
      </c>
      <c r="G488">
        <f>Tableau1[[#This Row],[P]]*Tableau1[[#This Row],[N(d1)]]-$P$4*EXP(-$N$4*$O$4)*Tableau1[[#This Row],[N(d2)]]</f>
        <v>397.7212584759763</v>
      </c>
      <c r="L488">
        <f>MAX(Tableau1[[#This Row],[P]]-$P$4)-Tableau1[[#This Row],[C]]</f>
        <v>-6.721258475976299</v>
      </c>
      <c r="M488">
        <f xml:space="preserve"> Tableau1[[#This Row],[C]] - 0.5 * (-50) * (Tableau1[[#This Row],[P]] - $P$4)</f>
        <v>10172.721258475976</v>
      </c>
    </row>
    <row r="489" spans="2:13" x14ac:dyDescent="0.3">
      <c r="B489">
        <v>487</v>
      </c>
      <c r="C489">
        <f t="shared" si="7"/>
        <v>2.3215413683133876</v>
      </c>
      <c r="D489">
        <f>Tableau1[[#This Row],[d1]]-$R$4*SQRT($O$4)</f>
        <v>1.4215413683133877</v>
      </c>
      <c r="E489">
        <f>NORMSDIST(Tableau1[[#This Row],[d1]])</f>
        <v>0.98987117794404489</v>
      </c>
      <c r="F489">
        <f>NORMSDIST(Tableau1[[#This Row],[d2]])</f>
        <v>0.92242028195952963</v>
      </c>
      <c r="G489">
        <f>Tableau1[[#This Row],[P]]*Tableau1[[#This Row],[N(d1)]]-$P$4*EXP(-$N$4*$O$4)*Tableau1[[#This Row],[N(d2)]]</f>
        <v>398.71109883291564</v>
      </c>
      <c r="L489">
        <f>MAX(Tableau1[[#This Row],[P]]-$P$4)-Tableau1[[#This Row],[C]]</f>
        <v>-6.7110988329156385</v>
      </c>
      <c r="M489">
        <f xml:space="preserve"> Tableau1[[#This Row],[C]] - 0.5 * (-50) * (Tableau1[[#This Row],[P]] - $P$4)</f>
        <v>10198.711098832915</v>
      </c>
    </row>
    <row r="490" spans="2:13" x14ac:dyDescent="0.3">
      <c r="B490">
        <v>488</v>
      </c>
      <c r="C490">
        <f t="shared" si="7"/>
        <v>2.323820571391785</v>
      </c>
      <c r="D490">
        <f>Tableau1[[#This Row],[d1]]-$R$4*SQRT($O$4)</f>
        <v>1.4238205713917851</v>
      </c>
      <c r="E490">
        <f>NORMSDIST(Tableau1[[#This Row],[d1]])</f>
        <v>0.98993244364189548</v>
      </c>
      <c r="F490">
        <f>NORMSDIST(Tableau1[[#This Row],[d2]])</f>
        <v>0.92275079041779129</v>
      </c>
      <c r="G490">
        <f>Tableau1[[#This Row],[P]]*Tableau1[[#This Row],[N(d1)]]-$P$4*EXP(-$N$4*$O$4)*Tableau1[[#This Row],[N(d2)]]</f>
        <v>399.701000681209</v>
      </c>
      <c r="L490">
        <f>MAX(Tableau1[[#This Row],[P]]-$P$4)-Tableau1[[#This Row],[C]]</f>
        <v>-6.7010006812089955</v>
      </c>
      <c r="M490">
        <f xml:space="preserve"> Tableau1[[#This Row],[C]] - 0.5 * (-50) * (Tableau1[[#This Row],[P]] - $P$4)</f>
        <v>10224.701000681209</v>
      </c>
    </row>
    <row r="491" spans="2:13" x14ac:dyDescent="0.3">
      <c r="B491">
        <v>489</v>
      </c>
      <c r="C491">
        <f t="shared" si="7"/>
        <v>2.3260951087492567</v>
      </c>
      <c r="D491">
        <f>Tableau1[[#This Row],[d1]]-$R$4*SQRT($O$4)</f>
        <v>1.4260951087492568</v>
      </c>
      <c r="E491">
        <f>NORMSDIST(Tableau1[[#This Row],[d1]])</f>
        <v>0.98999326128252019</v>
      </c>
      <c r="F491">
        <f>NORMSDIST(Tableau1[[#This Row],[d2]])</f>
        <v>0.92307955476271752</v>
      </c>
      <c r="G491">
        <f>Tableau1[[#This Row],[P]]*Tableau1[[#This Row],[N(d1)]]-$P$4*EXP(-$N$4*$O$4)*Tableau1[[#This Row],[N(d2)]]</f>
        <v>400.69096357084743</v>
      </c>
      <c r="L491">
        <f>MAX(Tableau1[[#This Row],[P]]-$P$4)-Tableau1[[#This Row],[C]]</f>
        <v>-6.6909635708474298</v>
      </c>
      <c r="M491">
        <f xml:space="preserve"> Tableau1[[#This Row],[C]] - 0.5 * (-50) * (Tableau1[[#This Row],[P]] - $P$4)</f>
        <v>10250.690963570847</v>
      </c>
    </row>
    <row r="492" spans="2:13" x14ac:dyDescent="0.3">
      <c r="B492">
        <v>490</v>
      </c>
      <c r="C492">
        <f t="shared" si="7"/>
        <v>2.3283649994490347</v>
      </c>
      <c r="D492">
        <f>Tableau1[[#This Row],[d1]]-$R$4*SQRT($O$4)</f>
        <v>1.4283649994490348</v>
      </c>
      <c r="E492">
        <f>NORMSDIST(Tableau1[[#This Row],[d1]])</f>
        <v>0.99005363473693708</v>
      </c>
      <c r="F492">
        <f>NORMSDIST(Tableau1[[#This Row],[d2]])</f>
        <v>0.92340658604643944</v>
      </c>
      <c r="G492">
        <f>Tableau1[[#This Row],[P]]*Tableau1[[#This Row],[N(d1)]]-$P$4*EXP(-$N$4*$O$4)*Tableau1[[#This Row],[N(d2)]]</f>
        <v>401.68098705571242</v>
      </c>
      <c r="L492">
        <f>MAX(Tableau1[[#This Row],[P]]-$P$4)-Tableau1[[#This Row],[C]]</f>
        <v>-6.6809870557124214</v>
      </c>
      <c r="M492">
        <f xml:space="preserve"> Tableau1[[#This Row],[C]] - 0.5 * (-50) * (Tableau1[[#This Row],[P]] - $P$4)</f>
        <v>10276.680987055712</v>
      </c>
    </row>
    <row r="493" spans="2:13" x14ac:dyDescent="0.3">
      <c r="B493">
        <v>491</v>
      </c>
      <c r="C493">
        <f t="shared" si="7"/>
        <v>2.3306302624377553</v>
      </c>
      <c r="D493">
        <f>Tableau1[[#This Row],[d1]]-$R$4*SQRT($O$4)</f>
        <v>1.4306302624377554</v>
      </c>
      <c r="E493">
        <f>NORMSDIST(Tableau1[[#This Row],[d1]])</f>
        <v>0.99011356783740379</v>
      </c>
      <c r="F493">
        <f>NORMSDIST(Tableau1[[#This Row],[d2]])</f>
        <v>0.92373189523921195</v>
      </c>
      <c r="G493">
        <f>Tableau1[[#This Row],[P]]*Tableau1[[#This Row],[N(d1)]]-$P$4*EXP(-$N$4*$O$4)*Tableau1[[#This Row],[N(d2)]]</f>
        <v>402.6710706935371</v>
      </c>
      <c r="L493">
        <f>MAX(Tableau1[[#This Row],[P]]-$P$4)-Tableau1[[#This Row],[C]]</f>
        <v>-6.6710706935371036</v>
      </c>
      <c r="M493">
        <f xml:space="preserve"> Tableau1[[#This Row],[C]] - 0.5 * (-50) * (Tableau1[[#This Row],[P]] - $P$4)</f>
        <v>10302.671070693537</v>
      </c>
    </row>
    <row r="494" spans="2:13" x14ac:dyDescent="0.3">
      <c r="B494">
        <v>492</v>
      </c>
      <c r="C494">
        <f t="shared" si="7"/>
        <v>2.332890916546408</v>
      </c>
      <c r="D494">
        <f>Tableau1[[#This Row],[d1]]-$R$4*SQRT($O$4)</f>
        <v>1.4328909165464081</v>
      </c>
      <c r="E494">
        <f>NORMSDIST(Tableau1[[#This Row],[d1]])</f>
        <v>0.99017306437786046</v>
      </c>
      <c r="F494">
        <f>NORMSDIST(Tableau1[[#This Row],[d2]])</f>
        <v>0.92405549323010572</v>
      </c>
      <c r="G494">
        <f>Tableau1[[#This Row],[P]]*Tableau1[[#This Row],[N(d1)]]-$P$4*EXP(-$N$4*$O$4)*Tableau1[[#This Row],[N(d2)]]</f>
        <v>403.66121404586767</v>
      </c>
      <c r="L494">
        <f>MAX(Tableau1[[#This Row],[P]]-$P$4)-Tableau1[[#This Row],[C]]</f>
        <v>-6.6612140458676663</v>
      </c>
      <c r="M494">
        <f xml:space="preserve"> Tableau1[[#This Row],[C]] - 0.5 * (-50) * (Tableau1[[#This Row],[P]] - $P$4)</f>
        <v>10328.661214045867</v>
      </c>
    </row>
    <row r="495" spans="2:13" x14ac:dyDescent="0.3">
      <c r="B495">
        <v>493</v>
      </c>
      <c r="C495">
        <f t="shared" si="7"/>
        <v>2.335146980491277</v>
      </c>
      <c r="D495">
        <f>Tableau1[[#This Row],[d1]]-$R$4*SQRT($O$4)</f>
        <v>1.4351469804912771</v>
      </c>
      <c r="E495">
        <f>NORMSDIST(Tableau1[[#This Row],[d1]])</f>
        <v>0.99023212811436634</v>
      </c>
      <c r="F495">
        <f>NORMSDIST(Tableau1[[#This Row],[d2]])</f>
        <v>0.92437739082769355</v>
      </c>
      <c r="G495">
        <f>Tableau1[[#This Row],[P]]*Tableau1[[#This Row],[N(d1)]]-$P$4*EXP(-$N$4*$O$4)*Tableau1[[#This Row],[N(d2)]]</f>
        <v>404.65141667802527</v>
      </c>
      <c r="L495">
        <f>MAX(Tableau1[[#This Row],[P]]-$P$4)-Tableau1[[#This Row],[C]]</f>
        <v>-6.6514166780252708</v>
      </c>
      <c r="M495">
        <f xml:space="preserve"> Tableau1[[#This Row],[C]] - 0.5 * (-50) * (Tableau1[[#This Row],[P]] - $P$4)</f>
        <v>10354.651416678025</v>
      </c>
    </row>
    <row r="496" spans="2:13" x14ac:dyDescent="0.3">
      <c r="B496">
        <v>494</v>
      </c>
      <c r="C496">
        <f t="shared" si="7"/>
        <v>2.3373984728748685</v>
      </c>
      <c r="D496">
        <f>Tableau1[[#This Row],[d1]]-$R$4*SQRT($O$4)</f>
        <v>1.4373984728748685</v>
      </c>
      <c r="E496">
        <f>NORMSDIST(Tableau1[[#This Row],[d1]])</f>
        <v>0.99029076276553163</v>
      </c>
      <c r="F496">
        <f>NORMSDIST(Tableau1[[#This Row],[d2]])</f>
        <v>0.92469759876072932</v>
      </c>
      <c r="G496">
        <f>Tableau1[[#This Row],[P]]*Tableau1[[#This Row],[N(d1)]]-$P$4*EXP(-$N$4*$O$4)*Tableau1[[#This Row],[N(d2)]]</f>
        <v>405.64167815906831</v>
      </c>
      <c r="L496">
        <f>MAX(Tableau1[[#This Row],[P]]-$P$4)-Tableau1[[#This Row],[C]]</f>
        <v>-6.6416781590683058</v>
      </c>
      <c r="M496">
        <f xml:space="preserve"> Tableau1[[#This Row],[C]] - 0.5 * (-50) * (Tableau1[[#This Row],[P]] - $P$4)</f>
        <v>10380.641678159069</v>
      </c>
    </row>
    <row r="497" spans="2:13" x14ac:dyDescent="0.3">
      <c r="B497">
        <v>495</v>
      </c>
      <c r="C497">
        <f t="shared" si="7"/>
        <v>2.3396454121868326</v>
      </c>
      <c r="D497">
        <f>Tableau1[[#This Row],[d1]]-$R$4*SQRT($O$4)</f>
        <v>1.4396454121868327</v>
      </c>
      <c r="E497">
        <f>NORMSDIST(Tableau1[[#This Row],[d1]])</f>
        <v>0.99034897201294292</v>
      </c>
      <c r="F497">
        <f>NORMSDIST(Tableau1[[#This Row],[d2]])</f>
        <v>0.92501612767882013</v>
      </c>
      <c r="G497">
        <f>Tableau1[[#This Row],[P]]*Tableau1[[#This Row],[N(d1)]]-$P$4*EXP(-$N$4*$O$4)*Tableau1[[#This Row],[N(d2)]]</f>
        <v>406.63199806175544</v>
      </c>
      <c r="L497">
        <f>MAX(Tableau1[[#This Row],[P]]-$P$4)-Tableau1[[#This Row],[C]]</f>
        <v>-6.6319980617554393</v>
      </c>
      <c r="M497">
        <f xml:space="preserve"> Tableau1[[#This Row],[C]] - 0.5 * (-50) * (Tableau1[[#This Row],[P]] - $P$4)</f>
        <v>10406.631998061755</v>
      </c>
    </row>
    <row r="498" spans="2:13" x14ac:dyDescent="0.3">
      <c r="B498">
        <v>496</v>
      </c>
      <c r="C498">
        <f t="shared" si="7"/>
        <v>2.3418878168048742</v>
      </c>
      <c r="D498">
        <f>Tableau1[[#This Row],[d1]]-$R$4*SQRT($O$4)</f>
        <v>1.4418878168048743</v>
      </c>
      <c r="E498">
        <f>NORMSDIST(Tableau1[[#This Row],[d1]])</f>
        <v>0.99040675950158419</v>
      </c>
      <c r="F498">
        <f>NORMSDIST(Tableau1[[#This Row],[d2]])</f>
        <v>0.92533298815309406</v>
      </c>
      <c r="G498">
        <f>Tableau1[[#This Row],[P]]*Tableau1[[#This Row],[N(d1)]]-$P$4*EXP(-$N$4*$O$4)*Tableau1[[#This Row],[N(d2)]]</f>
        <v>407.62237596250833</v>
      </c>
      <c r="L498">
        <f>MAX(Tableau1[[#This Row],[P]]-$P$4)-Tableau1[[#This Row],[C]]</f>
        <v>-6.6223759625083289</v>
      </c>
      <c r="M498">
        <f xml:space="preserve"> Tableau1[[#This Row],[C]] - 0.5 * (-50) * (Tableau1[[#This Row],[P]] - $P$4)</f>
        <v>10432.622375962508</v>
      </c>
    </row>
    <row r="499" spans="2:13" x14ac:dyDescent="0.3">
      <c r="B499">
        <v>497</v>
      </c>
      <c r="C499">
        <f t="shared" si="7"/>
        <v>2.344125704995653</v>
      </c>
      <c r="D499">
        <f>Tableau1[[#This Row],[d1]]-$R$4*SQRT($O$4)</f>
        <v>1.4441257049956531</v>
      </c>
      <c r="E499">
        <f>NORMSDIST(Tableau1[[#This Row],[d1]])</f>
        <v>0.99046412884025126</v>
      </c>
      <c r="F499">
        <f>NORMSDIST(Tableau1[[#This Row],[d2]])</f>
        <v>0.92564819067685877</v>
      </c>
      <c r="G499">
        <f>Tableau1[[#This Row],[P]]*Tableau1[[#This Row],[N(d1)]]-$P$4*EXP(-$N$4*$O$4)*Tableau1[[#This Row],[N(d2)]]</f>
        <v>408.6128114413757</v>
      </c>
      <c r="L499">
        <f>MAX(Tableau1[[#This Row],[P]]-$P$4)-Tableau1[[#This Row],[C]]</f>
        <v>-6.6128114413756975</v>
      </c>
      <c r="M499">
        <f xml:space="preserve"> Tableau1[[#This Row],[C]] - 0.5 * (-50) * (Tableau1[[#This Row],[P]] - $P$4)</f>
        <v>10458.612811441375</v>
      </c>
    </row>
    <row r="500" spans="2:13" x14ac:dyDescent="0.3">
      <c r="B500">
        <v>498</v>
      </c>
      <c r="C500">
        <f t="shared" si="7"/>
        <v>2.3463590949156798</v>
      </c>
      <c r="D500">
        <f>Tableau1[[#This Row],[d1]]-$R$4*SQRT($O$4)</f>
        <v>1.4463590949156799</v>
      </c>
      <c r="E500">
        <f>NORMSDIST(Tableau1[[#This Row],[d1]])</f>
        <v>0.99052108360196189</v>
      </c>
      <c r="F500">
        <f>NORMSDIST(Tableau1[[#This Row],[d2]])</f>
        <v>0.92596174566625711</v>
      </c>
      <c r="G500">
        <f>Tableau1[[#This Row],[P]]*Tableau1[[#This Row],[N(d1)]]-$P$4*EXP(-$N$4*$O$4)*Tableau1[[#This Row],[N(d2)]]</f>
        <v>409.60330408199695</v>
      </c>
      <c r="L500">
        <f>MAX(Tableau1[[#This Row],[P]]-$P$4)-Tableau1[[#This Row],[C]]</f>
        <v>-6.6033040819969528</v>
      </c>
      <c r="M500">
        <f xml:space="preserve"> Tableau1[[#This Row],[C]] - 0.5 * (-50) * (Tableau1[[#This Row],[P]] - $P$4)</f>
        <v>10484.603304081997</v>
      </c>
    </row>
    <row r="501" spans="2:13" x14ac:dyDescent="0.3">
      <c r="B501">
        <v>499</v>
      </c>
      <c r="C501">
        <f t="shared" si="7"/>
        <v>2.3485880046121972</v>
      </c>
      <c r="D501">
        <f>Tableau1[[#This Row],[d1]]-$R$4*SQRT($O$4)</f>
        <v>1.4485880046121973</v>
      </c>
      <c r="E501">
        <f>NORMSDIST(Tableau1[[#This Row],[d1]])</f>
        <v>0.99057762732436028</v>
      </c>
      <c r="F501">
        <f>NORMSDIST(Tableau1[[#This Row],[d2]])</f>
        <v>0.92627366346091389</v>
      </c>
      <c r="G501">
        <f>Tableau1[[#This Row],[P]]*Tableau1[[#This Row],[N(d1)]]-$P$4*EXP(-$N$4*$O$4)*Tableau1[[#This Row],[N(d2)]]</f>
        <v>410.59385347156694</v>
      </c>
      <c r="L501">
        <f>MAX(Tableau1[[#This Row],[P]]-$P$4)-Tableau1[[#This Row],[C]]</f>
        <v>-6.5938534715669448</v>
      </c>
      <c r="M501">
        <f xml:space="preserve"> Tableau1[[#This Row],[C]] - 0.5 * (-50) * (Tableau1[[#This Row],[P]] - $P$4)</f>
        <v>10510.593853471568</v>
      </c>
    </row>
    <row r="502" spans="2:13" x14ac:dyDescent="0.3">
      <c r="B502">
        <v>500</v>
      </c>
      <c r="C502">
        <f t="shared" si="7"/>
        <v>2.3508124520240563</v>
      </c>
      <c r="D502">
        <f>Tableau1[[#This Row],[d1]]-$R$4*SQRT($O$4)</f>
        <v>1.4508124520240564</v>
      </c>
      <c r="E502">
        <f>NORMSDIST(Tableau1[[#This Row],[d1]])</f>
        <v>0.99063376351011623</v>
      </c>
      <c r="F502">
        <f>NORMSDIST(Tableau1[[#This Row],[d2]])</f>
        <v>0.9265839543245783</v>
      </c>
      <c r="G502">
        <f>Tableau1[[#This Row],[P]]*Tableau1[[#This Row],[N(d1)]]-$P$4*EXP(-$N$4*$O$4)*Tableau1[[#This Row],[N(d2)]]</f>
        <v>411.58445920080044</v>
      </c>
      <c r="L502">
        <f>MAX(Tableau1[[#This Row],[P]]-$P$4)-Tableau1[[#This Row],[C]]</f>
        <v>-6.5844592008004383</v>
      </c>
      <c r="M502">
        <f xml:space="preserve"> Tableau1[[#This Row],[C]] - 0.5 * (-50) * (Tableau1[[#This Row],[P]] - $P$4)</f>
        <v>10536.5844592008</v>
      </c>
    </row>
    <row r="503" spans="2:13" x14ac:dyDescent="0.3">
      <c r="B503">
        <v>501</v>
      </c>
      <c r="C503">
        <f t="shared" si="7"/>
        <v>2.3530324549825821</v>
      </c>
      <c r="D503">
        <f>Tableau1[[#This Row],[d1]]-$R$4*SQRT($O$4)</f>
        <v>1.4530324549825822</v>
      </c>
      <c r="E503">
        <f>NORMSDIST(Tableau1[[#This Row],[d1]])</f>
        <v>0.99068949562732</v>
      </c>
      <c r="F503">
        <f>NORMSDIST(Tableau1[[#This Row],[d2]])</f>
        <v>0.92689262844575926</v>
      </c>
      <c r="G503">
        <f>Tableau1[[#This Row],[P]]*Tableau1[[#This Row],[N(d1)]]-$P$4*EXP(-$N$4*$O$4)*Tableau1[[#This Row],[N(d2)]]</f>
        <v>412.57512086389801</v>
      </c>
      <c r="L503">
        <f>MAX(Tableau1[[#This Row],[P]]-$P$4)-Tableau1[[#This Row],[C]]</f>
        <v>-6.5751208638980074</v>
      </c>
      <c r="M503">
        <f xml:space="preserve"> Tableau1[[#This Row],[C]] - 0.5 * (-50) * (Tableau1[[#This Row],[P]] - $P$4)</f>
        <v>10562.575120863898</v>
      </c>
    </row>
    <row r="504" spans="2:13" x14ac:dyDescent="0.3">
      <c r="B504">
        <v>502</v>
      </c>
      <c r="C504">
        <f t="shared" si="7"/>
        <v>2.3552480312124313</v>
      </c>
      <c r="D504">
        <f>Tableau1[[#This Row],[d1]]-$R$4*SQRT($O$4)</f>
        <v>1.4552480312124314</v>
      </c>
      <c r="E504">
        <f>NORMSDIST(Tableau1[[#This Row],[d1]])</f>
        <v>0.99074482710987088</v>
      </c>
      <c r="F504">
        <f>NORMSDIST(Tableau1[[#This Row],[d2]])</f>
        <v>0.92719969593835594</v>
      </c>
      <c r="G504">
        <f>Tableau1[[#This Row],[P]]*Tableau1[[#This Row],[N(d1)]]-$P$4*EXP(-$N$4*$O$4)*Tableau1[[#This Row],[N(d2)]]</f>
        <v>413.56583805851062</v>
      </c>
      <c r="L504">
        <f>MAX(Tableau1[[#This Row],[P]]-$P$4)-Tableau1[[#This Row],[C]]</f>
        <v>-6.5658380585106215</v>
      </c>
      <c r="M504">
        <f xml:space="preserve"> Tableau1[[#This Row],[C]] - 0.5 * (-50) * (Tableau1[[#This Row],[P]] - $P$4)</f>
        <v>10588.56583805851</v>
      </c>
    </row>
    <row r="505" spans="2:13" x14ac:dyDescent="0.3">
      <c r="B505">
        <v>503</v>
      </c>
      <c r="C505">
        <f t="shared" si="7"/>
        <v>2.3574591983324429</v>
      </c>
      <c r="D505">
        <f>Tableau1[[#This Row],[d1]]-$R$4*SQRT($O$4)</f>
        <v>1.457459198332443</v>
      </c>
      <c r="E505">
        <f>NORMSDIST(Tableau1[[#This Row],[d1]])</f>
        <v>0.99079976135786207</v>
      </c>
      <c r="F505">
        <f>NORMSDIST(Tableau1[[#This Row],[d2]])</f>
        <v>0.9275051668422809</v>
      </c>
      <c r="G505">
        <f>Tableau1[[#This Row],[P]]*Tableau1[[#This Row],[N(d1)]]-$P$4*EXP(-$N$4*$O$4)*Tableau1[[#This Row],[N(d2)]]</f>
        <v>414.55661038570656</v>
      </c>
      <c r="L505">
        <f>MAX(Tableau1[[#This Row],[P]]-$P$4)-Tableau1[[#This Row],[C]]</f>
        <v>-6.5566103857065627</v>
      </c>
      <c r="M505">
        <f xml:space="preserve"> Tableau1[[#This Row],[C]] - 0.5 * (-50) * (Tableau1[[#This Row],[P]] - $P$4)</f>
        <v>10614.556610385707</v>
      </c>
    </row>
    <row r="506" spans="2:13" x14ac:dyDescent="0.3">
      <c r="B506">
        <v>504</v>
      </c>
      <c r="C506">
        <f t="shared" si="7"/>
        <v>2.3596659738564751</v>
      </c>
      <c r="D506">
        <f>Tableau1[[#This Row],[d1]]-$R$4*SQRT($O$4)</f>
        <v>1.4596659738564752</v>
      </c>
      <c r="E506">
        <f>NORMSDIST(Tableau1[[#This Row],[d1]])</f>
        <v>0.9908543017379603</v>
      </c>
      <c r="F506">
        <f>NORMSDIST(Tableau1[[#This Row],[d2]])</f>
        <v>0.92780905112407863</v>
      </c>
      <c r="G506">
        <f>Tableau1[[#This Row],[P]]*Tableau1[[#This Row],[N(d1)]]-$P$4*EXP(-$N$4*$O$4)*Tableau1[[#This Row],[N(d2)]]</f>
        <v>415.54743744993743</v>
      </c>
      <c r="L506">
        <f>MAX(Tableau1[[#This Row],[P]]-$P$4)-Tableau1[[#This Row],[C]]</f>
        <v>-6.5474374499374335</v>
      </c>
      <c r="M506">
        <f xml:space="preserve"> Tableau1[[#This Row],[C]] - 0.5 * (-50) * (Tableau1[[#This Row],[P]] - $P$4)</f>
        <v>10640.547437449937</v>
      </c>
    </row>
    <row r="507" spans="2:13" x14ac:dyDescent="0.3">
      <c r="B507">
        <v>505</v>
      </c>
      <c r="C507">
        <f t="shared" si="7"/>
        <v>2.3618683751942435</v>
      </c>
      <c r="D507">
        <f>Tableau1[[#This Row],[d1]]-$R$4*SQRT($O$4)</f>
        <v>1.4618683751942436</v>
      </c>
      <c r="E507">
        <f>NORMSDIST(Tableau1[[#This Row],[d1]])</f>
        <v>0.99090845158377983</v>
      </c>
      <c r="F507">
        <f>NORMSDIST(Tableau1[[#This Row],[d2]])</f>
        <v>0.9281113586775388</v>
      </c>
      <c r="G507">
        <f>Tableau1[[#This Row],[P]]*Tableau1[[#This Row],[N(d1)]]-$P$4*EXP(-$N$4*$O$4)*Tableau1[[#This Row],[N(d2)]]</f>
        <v>416.53831885900479</v>
      </c>
      <c r="L507">
        <f>MAX(Tableau1[[#This Row],[P]]-$P$4)-Tableau1[[#This Row],[C]]</f>
        <v>-6.5383188590047894</v>
      </c>
      <c r="M507">
        <f xml:space="preserve"> Tableau1[[#This Row],[C]] - 0.5 * (-50) * (Tableau1[[#This Row],[P]] - $P$4)</f>
        <v>10666.538318859004</v>
      </c>
    </row>
    <row r="508" spans="2:13" x14ac:dyDescent="0.3">
      <c r="B508">
        <v>506</v>
      </c>
      <c r="C508">
        <f t="shared" si="7"/>
        <v>2.3640664196521386</v>
      </c>
      <c r="D508">
        <f>Tableau1[[#This Row],[d1]]-$R$4*SQRT($O$4)</f>
        <v>1.4640664196521387</v>
      </c>
      <c r="E508">
        <f>NORMSDIST(Tableau1[[#This Row],[d1]])</f>
        <v>0.99096221419625341</v>
      </c>
      <c r="F508">
        <f>NORMSDIST(Tableau1[[#This Row],[d2]])</f>
        <v>0.92841209932430102</v>
      </c>
      <c r="G508">
        <f>Tableau1[[#This Row],[P]]*Tableau1[[#This Row],[N(d1)]]-$P$4*EXP(-$N$4*$O$4)*Tableau1[[#This Row],[N(d2)]]</f>
        <v>417.52925422402757</v>
      </c>
      <c r="L508">
        <f>MAX(Tableau1[[#This Row],[P]]-$P$4)-Tableau1[[#This Row],[C]]</f>
        <v>-6.5292542240275679</v>
      </c>
      <c r="M508">
        <f xml:space="preserve"> Tableau1[[#This Row],[C]] - 0.5 * (-50) * (Tableau1[[#This Row],[P]] - $P$4)</f>
        <v>10692.529254224028</v>
      </c>
    </row>
    <row r="509" spans="2:13" x14ac:dyDescent="0.3">
      <c r="B509">
        <v>507</v>
      </c>
      <c r="C509">
        <f t="shared" si="7"/>
        <v>2.3662601244340471</v>
      </c>
      <c r="D509">
        <f>Tableau1[[#This Row],[d1]]-$R$4*SQRT($O$4)</f>
        <v>1.4662601244340472</v>
      </c>
      <c r="E509">
        <f>NORMSDIST(Tableau1[[#This Row],[d1]])</f>
        <v>0.99101559284399698</v>
      </c>
      <c r="F509">
        <f>NORMSDIST(Tableau1[[#This Row],[d2]])</f>
        <v>0.92871128281445758</v>
      </c>
      <c r="G509">
        <f>Tableau1[[#This Row],[P]]*Tableau1[[#This Row],[N(d1)]]-$P$4*EXP(-$N$4*$O$4)*Tableau1[[#This Row],[N(d2)]]</f>
        <v>418.5202431594094</v>
      </c>
      <c r="L509">
        <f>MAX(Tableau1[[#This Row],[P]]-$P$4)-Tableau1[[#This Row],[C]]</f>
        <v>-6.5202431594094037</v>
      </c>
      <c r="M509">
        <f xml:space="preserve"> Tableau1[[#This Row],[C]] - 0.5 * (-50) * (Tableau1[[#This Row],[P]] - $P$4)</f>
        <v>10718.52024315941</v>
      </c>
    </row>
    <row r="510" spans="2:13" x14ac:dyDescent="0.3">
      <c r="B510">
        <v>508</v>
      </c>
      <c r="C510">
        <f t="shared" si="7"/>
        <v>2.3684495066421563</v>
      </c>
      <c r="D510">
        <f>Tableau1[[#This Row],[d1]]-$R$4*SQRT($O$4)</f>
        <v>1.4684495066421563</v>
      </c>
      <c r="E510">
        <f>NORMSDIST(Tableau1[[#This Row],[d1]])</f>
        <v>0.99106859076367027</v>
      </c>
      <c r="F510">
        <f>NORMSDIST(Tableau1[[#This Row],[d2]])</f>
        <v>0.92900891882714798</v>
      </c>
      <c r="G510">
        <f>Tableau1[[#This Row],[P]]*Tableau1[[#This Row],[N(d1)]]-$P$4*EXP(-$N$4*$O$4)*Tableau1[[#This Row],[N(d2)]]</f>
        <v>419.51128528280651</v>
      </c>
      <c r="L510">
        <f>MAX(Tableau1[[#This Row],[P]]-$P$4)-Tableau1[[#This Row],[C]]</f>
        <v>-6.5112852828065115</v>
      </c>
      <c r="M510">
        <f xml:space="preserve"> Tableau1[[#This Row],[C]] - 0.5 * (-50) * (Tableau1[[#This Row],[P]] - $P$4)</f>
        <v>10744.511285282806</v>
      </c>
    </row>
    <row r="511" spans="2:13" x14ac:dyDescent="0.3">
      <c r="B511">
        <v>509</v>
      </c>
      <c r="C511">
        <f t="shared" si="7"/>
        <v>2.3706345832777576</v>
      </c>
      <c r="D511">
        <f>Tableau1[[#This Row],[d1]]-$R$4*SQRT($O$4)</f>
        <v>1.4706345832777576</v>
      </c>
      <c r="E511">
        <f>NORMSDIST(Tableau1[[#This Row],[d1]])</f>
        <v>0.9911212111603338</v>
      </c>
      <c r="F511">
        <f>NORMSDIST(Tableau1[[#This Row],[d2]])</f>
        <v>0.92930501697114964</v>
      </c>
      <c r="G511">
        <f>Tableau1[[#This Row],[P]]*Tableau1[[#This Row],[N(d1)]]-$P$4*EXP(-$N$4*$O$4)*Tableau1[[#This Row],[N(d2)]]</f>
        <v>420.50238021509608</v>
      </c>
      <c r="L511">
        <f>MAX(Tableau1[[#This Row],[P]]-$P$4)-Tableau1[[#This Row],[C]]</f>
        <v>-6.5023802150960819</v>
      </c>
      <c r="M511">
        <f xml:space="preserve"> Tableau1[[#This Row],[C]] - 0.5 * (-50) * (Tableau1[[#This Row],[P]] - $P$4)</f>
        <v>10770.502380215095</v>
      </c>
    </row>
    <row r="512" spans="2:13" x14ac:dyDescent="0.3">
      <c r="B512">
        <v>510</v>
      </c>
      <c r="C512">
        <f t="shared" si="7"/>
        <v>2.3728153712420337</v>
      </c>
      <c r="D512">
        <f>Tableau1[[#This Row],[d1]]-$R$4*SQRT($O$4)</f>
        <v>1.4728153712420338</v>
      </c>
      <c r="E512">
        <f>NORMSDIST(Tableau1[[#This Row],[d1]])</f>
        <v>0.99117345720779981</v>
      </c>
      <c r="F512">
        <f>NORMSDIST(Tableau1[[#This Row],[d2]])</f>
        <v>0.92959958678546095</v>
      </c>
      <c r="G512">
        <f>Tableau1[[#This Row],[P]]*Tableau1[[#This Row],[N(d1)]]-$P$4*EXP(-$N$4*$O$4)*Tableau1[[#This Row],[N(d2)]]</f>
        <v>421.49352758034456</v>
      </c>
      <c r="L512">
        <f>MAX(Tableau1[[#This Row],[P]]-$P$4)-Tableau1[[#This Row],[C]]</f>
        <v>-6.493527580344562</v>
      </c>
      <c r="M512">
        <f xml:space="preserve"> Tableau1[[#This Row],[C]] - 0.5 * (-50) * (Tableau1[[#This Row],[P]] - $P$4)</f>
        <v>10796.493527580344</v>
      </c>
    </row>
    <row r="513" spans="2:13" x14ac:dyDescent="0.3">
      <c r="B513">
        <v>511</v>
      </c>
      <c r="C513">
        <f t="shared" si="7"/>
        <v>2.3749918873368485</v>
      </c>
      <c r="D513">
        <f>Tableau1[[#This Row],[d1]]-$R$4*SQRT($O$4)</f>
        <v>1.4749918873368486</v>
      </c>
      <c r="E513">
        <f>NORMSDIST(Tableau1[[#This Row],[d1]])</f>
        <v>0.99122533204897978</v>
      </c>
      <c r="F513">
        <f>NORMSDIST(Tableau1[[#This Row],[d2]])</f>
        <v>0.92989263773988196</v>
      </c>
      <c r="G513">
        <f>Tableau1[[#This Row],[P]]*Tableau1[[#This Row],[N(d1)]]-$P$4*EXP(-$N$4*$O$4)*Tableau1[[#This Row],[N(d2)]]</f>
        <v>422.48472700577656</v>
      </c>
      <c r="L513">
        <f>MAX(Tableau1[[#This Row],[P]]-$P$4)-Tableau1[[#This Row],[C]]</f>
        <v>-6.4847270057765627</v>
      </c>
      <c r="M513">
        <f xml:space="preserve"> Tableau1[[#This Row],[C]] - 0.5 * (-50) * (Tableau1[[#This Row],[P]] - $P$4)</f>
        <v>10822.484727005776</v>
      </c>
    </row>
    <row r="514" spans="2:13" x14ac:dyDescent="0.3">
      <c r="B514">
        <v>512</v>
      </c>
      <c r="C514">
        <f t="shared" si="7"/>
        <v>2.377164148265519</v>
      </c>
      <c r="D514">
        <f>Tableau1[[#This Row],[d1]]-$R$4*SQRT($O$4)</f>
        <v>1.4771641482655191</v>
      </c>
      <c r="E514">
        <f>NORMSDIST(Tableau1[[#This Row],[d1]])</f>
        <v>0.99127683879622797</v>
      </c>
      <c r="F514">
        <f>NORMSDIST(Tableau1[[#This Row],[d2]])</f>
        <v>0.93018417923558638</v>
      </c>
      <c r="G514">
        <f>Tableau1[[#This Row],[P]]*Tableau1[[#This Row],[N(d1)]]-$P$4*EXP(-$N$4*$O$4)*Tableau1[[#This Row],[N(d2)]]</f>
        <v>423.47597812174479</v>
      </c>
      <c r="L514">
        <f>MAX(Tableau1[[#This Row],[P]]-$P$4)-Tableau1[[#This Row],[C]]</f>
        <v>-6.475978121744788</v>
      </c>
      <c r="M514">
        <f xml:space="preserve"> Tableau1[[#This Row],[C]] - 0.5 * (-50) * (Tableau1[[#This Row],[P]] - $P$4)</f>
        <v>10848.475978121745</v>
      </c>
    </row>
    <row r="515" spans="2:13" x14ac:dyDescent="0.3">
      <c r="B515">
        <v>513</v>
      </c>
      <c r="C515">
        <f t="shared" ref="C515:C578" si="8" xml:space="preserve"> (LN($B515/$P$4) + ($N$4 + ($R$4^2)/2) * $O$4) / ($R$4 * SQRT($O$4))</f>
        <v>2.3793321706335875</v>
      </c>
      <c r="D515">
        <f>Tableau1[[#This Row],[d1]]-$R$4*SQRT($O$4)</f>
        <v>1.4793321706335876</v>
      </c>
      <c r="E515">
        <f>NORMSDIST(Tableau1[[#This Row],[d1]])</f>
        <v>0.99132798053167925</v>
      </c>
      <c r="F515">
        <f>NORMSDIST(Tableau1[[#This Row],[d2]])</f>
        <v>0.93047422060569096</v>
      </c>
      <c r="G515">
        <f>Tableau1[[#This Row],[P]]*Tableau1[[#This Row],[N(d1)]]-$P$4*EXP(-$N$4*$O$4)*Tableau1[[#This Row],[N(d2)]]</f>
        <v>424.46728056169883</v>
      </c>
      <c r="L515">
        <f>MAX(Tableau1[[#This Row],[P]]-$P$4)-Tableau1[[#This Row],[C]]</f>
        <v>-6.4672805616988285</v>
      </c>
      <c r="M515">
        <f xml:space="preserve"> Tableau1[[#This Row],[C]] - 0.5 * (-50) * (Tableau1[[#This Row],[P]] - $P$4)</f>
        <v>10874.467280561699</v>
      </c>
    </row>
    <row r="516" spans="2:13" x14ac:dyDescent="0.3">
      <c r="B516">
        <v>514</v>
      </c>
      <c r="C516">
        <f t="shared" si="8"/>
        <v>2.3814959709495827</v>
      </c>
      <c r="D516">
        <f>Tableau1[[#This Row],[d1]]-$R$4*SQRT($O$4)</f>
        <v>1.4814959709495827</v>
      </c>
      <c r="E516">
        <f>NORMSDIST(Tableau1[[#This Row],[d1]])</f>
        <v>0.99137876030758432</v>
      </c>
      <c r="F516">
        <f>NORMSDIST(Tableau1[[#This Row],[d2]])</f>
        <v>0.93076277111581829</v>
      </c>
      <c r="G516">
        <f>Tableau1[[#This Row],[P]]*Tableau1[[#This Row],[N(d1)]]-$P$4*EXP(-$N$4*$O$4)*Tableau1[[#This Row],[N(d2)]]</f>
        <v>425.45863396215532</v>
      </c>
      <c r="L516">
        <f>MAX(Tableau1[[#This Row],[P]]-$P$4)-Tableau1[[#This Row],[C]]</f>
        <v>-6.4586339621553179</v>
      </c>
      <c r="M516">
        <f xml:space="preserve"> Tableau1[[#This Row],[C]] - 0.5 * (-50) * (Tableau1[[#This Row],[P]] - $P$4)</f>
        <v>10900.458633962155</v>
      </c>
    </row>
    <row r="517" spans="2:13" x14ac:dyDescent="0.3">
      <c r="B517">
        <v>515</v>
      </c>
      <c r="C517">
        <f t="shared" si="8"/>
        <v>2.3836555656257725</v>
      </c>
      <c r="D517">
        <f>Tableau1[[#This Row],[d1]]-$R$4*SQRT($O$4)</f>
        <v>1.4836555656257726</v>
      </c>
      <c r="E517">
        <f>NORMSDIST(Tableau1[[#This Row],[d1]])</f>
        <v>0.99142918114663958</v>
      </c>
      <c r="F517">
        <f>NORMSDIST(Tableau1[[#This Row],[d2]])</f>
        <v>0.93104983996465451</v>
      </c>
      <c r="G517">
        <f>Tableau1[[#This Row],[P]]*Tableau1[[#This Row],[N(d1)]]-$P$4*EXP(-$N$4*$O$4)*Tableau1[[#This Row],[N(d2)]]</f>
        <v>426.45003796266866</v>
      </c>
      <c r="L517">
        <f>MAX(Tableau1[[#This Row],[P]]-$P$4)-Tableau1[[#This Row],[C]]</f>
        <v>-6.4500379626686595</v>
      </c>
      <c r="M517">
        <f xml:space="preserve"> Tableau1[[#This Row],[C]] - 0.5 * (-50) * (Tableau1[[#This Row],[P]] - $P$4)</f>
        <v>10926.450037962668</v>
      </c>
    </row>
    <row r="518" spans="2:13" x14ac:dyDescent="0.3">
      <c r="B518">
        <v>516</v>
      </c>
      <c r="C518">
        <f t="shared" si="8"/>
        <v>2.3858109709789135</v>
      </c>
      <c r="D518">
        <f>Tableau1[[#This Row],[d1]]-$R$4*SQRT($O$4)</f>
        <v>1.4858109709789136</v>
      </c>
      <c r="E518">
        <f>NORMSDIST(Tableau1[[#This Row],[d1]])</f>
        <v>0.99147924604231363</v>
      </c>
      <c r="F518">
        <f>NORMSDIST(Tableau1[[#This Row],[d2]])</f>
        <v>0.93133543628450222</v>
      </c>
      <c r="G518">
        <f>Tableau1[[#This Row],[P]]*Tableau1[[#This Row],[N(d1)]]-$P$4*EXP(-$N$4*$O$4)*Tableau1[[#This Row],[N(d2)]]</f>
        <v>427.44149220580118</v>
      </c>
      <c r="L518">
        <f>MAX(Tableau1[[#This Row],[P]]-$P$4)-Tableau1[[#This Row],[C]]</f>
        <v>-6.4414922058011825</v>
      </c>
      <c r="M518">
        <f xml:space="preserve"> Tableau1[[#This Row],[C]] - 0.5 * (-50) * (Tableau1[[#This Row],[P]] - $P$4)</f>
        <v>10952.4414922058</v>
      </c>
    </row>
    <row r="519" spans="2:13" x14ac:dyDescent="0.3">
      <c r="B519">
        <v>517</v>
      </c>
      <c r="C519">
        <f t="shared" si="8"/>
        <v>2.3879622032309866</v>
      </c>
      <c r="D519">
        <f>Tableau1[[#This Row],[d1]]-$R$4*SQRT($O$4)</f>
        <v>1.4879622032309867</v>
      </c>
      <c r="E519">
        <f>NORMSDIST(Tableau1[[#This Row],[d1]])</f>
        <v>0.99152895795916918</v>
      </c>
      <c r="F519">
        <f>NORMSDIST(Tableau1[[#This Row],[d2]])</f>
        <v>0.93161956914182731</v>
      </c>
      <c r="G519">
        <f>Tableau1[[#This Row],[P]]*Tableau1[[#This Row],[N(d1)]]-$P$4*EXP(-$N$4*$O$4)*Tableau1[[#This Row],[N(d2)]]</f>
        <v>428.4329963370941</v>
      </c>
      <c r="L519">
        <f>MAX(Tableau1[[#This Row],[P]]-$P$4)-Tableau1[[#This Row],[C]]</f>
        <v>-6.4329963370940959</v>
      </c>
      <c r="M519">
        <f xml:space="preserve"> Tableau1[[#This Row],[C]] - 0.5 * (-50) * (Tableau1[[#This Row],[P]] - $P$4)</f>
        <v>10978.432996337095</v>
      </c>
    </row>
    <row r="520" spans="2:13" x14ac:dyDescent="0.3">
      <c r="B520">
        <v>518</v>
      </c>
      <c r="C520">
        <f t="shared" si="8"/>
        <v>2.3901092785099354</v>
      </c>
      <c r="D520">
        <f>Tableau1[[#This Row],[d1]]-$R$4*SQRT($O$4)</f>
        <v>1.4901092785099355</v>
      </c>
      <c r="E520">
        <f>NORMSDIST(Tableau1[[#This Row],[d1]])</f>
        <v>0.99157831983318123</v>
      </c>
      <c r="F520">
        <f>NORMSDIST(Tableau1[[#This Row],[d2]])</f>
        <v>0.93190224753780271</v>
      </c>
      <c r="G520">
        <f>Tableau1[[#This Row],[P]]*Tableau1[[#This Row],[N(d1)]]-$P$4*EXP(-$N$4*$O$4)*Tableau1[[#This Row],[N(d2)]]</f>
        <v>429.42455000503884</v>
      </c>
      <c r="L520">
        <f>MAX(Tableau1[[#This Row],[P]]-$P$4)-Tableau1[[#This Row],[C]]</f>
        <v>-6.4245500050388387</v>
      </c>
      <c r="M520">
        <f xml:space="preserve"> Tableau1[[#This Row],[C]] - 0.5 * (-50) * (Tableau1[[#This Row],[P]] - $P$4)</f>
        <v>11004.424550005038</v>
      </c>
    </row>
    <row r="521" spans="2:13" x14ac:dyDescent="0.3">
      <c r="B521">
        <v>519</v>
      </c>
      <c r="C521">
        <f t="shared" si="8"/>
        <v>2.3922522128503863</v>
      </c>
      <c r="D521">
        <f>Tableau1[[#This Row],[d1]]-$R$4*SQRT($O$4)</f>
        <v>1.4922522128503863</v>
      </c>
      <c r="E521">
        <f>NORMSDIST(Tableau1[[#This Row],[d1]])</f>
        <v>0.99162733457205188</v>
      </c>
      <c r="F521">
        <f>NORMSDIST(Tableau1[[#This Row],[d2]])</f>
        <v>0.93218348040884502</v>
      </c>
      <c r="G521">
        <f>Tableau1[[#This Row],[P]]*Tableau1[[#This Row],[N(d1)]]-$P$4*EXP(-$N$4*$O$4)*Tableau1[[#This Row],[N(d2)]]</f>
        <v>430.41615286104906</v>
      </c>
      <c r="L521">
        <f>MAX(Tableau1[[#This Row],[P]]-$P$4)-Tableau1[[#This Row],[C]]</f>
        <v>-6.4161528610490564</v>
      </c>
      <c r="M521">
        <f xml:space="preserve"> Tableau1[[#This Row],[C]] - 0.5 * (-50) * (Tableau1[[#This Row],[P]] - $P$4)</f>
        <v>11030.416152861049</v>
      </c>
    </row>
    <row r="522" spans="2:13" x14ac:dyDescent="0.3">
      <c r="B522">
        <v>520</v>
      </c>
      <c r="C522">
        <f t="shared" si="8"/>
        <v>2.3943910221943692</v>
      </c>
      <c r="D522">
        <f>Tableau1[[#This Row],[d1]]-$R$4*SQRT($O$4)</f>
        <v>1.4943910221943693</v>
      </c>
      <c r="E522">
        <f>NORMSDIST(Tableau1[[#This Row],[d1]])</f>
        <v>0.99167600505551945</v>
      </c>
      <c r="F522">
        <f>NORMSDIST(Tableau1[[#This Row],[d2]])</f>
        <v>0.93246327662714734</v>
      </c>
      <c r="G522">
        <f>Tableau1[[#This Row],[P]]*Tableau1[[#This Row],[N(d1)]]-$P$4*EXP(-$N$4*$O$4)*Tableau1[[#This Row],[N(d2)]]</f>
        <v>431.40780455943138</v>
      </c>
      <c r="L522">
        <f>MAX(Tableau1[[#This Row],[P]]-$P$4)-Tableau1[[#This Row],[C]]</f>
        <v>-6.4078045594313835</v>
      </c>
      <c r="M522">
        <f xml:space="preserve"> Tableau1[[#This Row],[C]] - 0.5 * (-50) * (Tableau1[[#This Row],[P]] - $P$4)</f>
        <v>11056.407804559431</v>
      </c>
    </row>
    <row r="523" spans="2:13" x14ac:dyDescent="0.3">
      <c r="B523">
        <v>521</v>
      </c>
      <c r="C523">
        <f t="shared" si="8"/>
        <v>2.3965257223920289</v>
      </c>
      <c r="D523">
        <f>Tableau1[[#This Row],[d1]]-$R$4*SQRT($O$4)</f>
        <v>1.496525722392029</v>
      </c>
      <c r="E523">
        <f>NORMSDIST(Tableau1[[#This Row],[d1]])</f>
        <v>0.99172433413566641</v>
      </c>
      <c r="F523">
        <f>NORMSDIST(Tableau1[[#This Row],[d2]])</f>
        <v>0.93274164500120671</v>
      </c>
      <c r="G523">
        <f>Tableau1[[#This Row],[P]]*Tableau1[[#This Row],[N(d1)]]-$P$4*EXP(-$N$4*$O$4)*Tableau1[[#This Row],[N(d2)]]</f>
        <v>432.39950475735924</v>
      </c>
      <c r="L523">
        <f>MAX(Tableau1[[#This Row],[P]]-$P$4)-Tableau1[[#This Row],[C]]</f>
        <v>-6.3995047573592387</v>
      </c>
      <c r="M523">
        <f xml:space="preserve"> Tableau1[[#This Row],[C]] - 0.5 * (-50) * (Tableau1[[#This Row],[P]] - $P$4)</f>
        <v>11082.399504757359</v>
      </c>
    </row>
    <row r="524" spans="2:13" x14ac:dyDescent="0.3">
      <c r="B524">
        <v>522</v>
      </c>
      <c r="C524">
        <f t="shared" si="8"/>
        <v>2.3986563292023311</v>
      </c>
      <c r="D524">
        <f>Tableau1[[#This Row],[d1]]-$R$4*SQRT($O$4)</f>
        <v>1.4986563292023312</v>
      </c>
      <c r="E524">
        <f>NORMSDIST(Tableau1[[#This Row],[d1]])</f>
        <v>0.99177232463722087</v>
      </c>
      <c r="F524">
        <f>NORMSDIST(Tableau1[[#This Row],[d2]])</f>
        <v>0.93301859427634759</v>
      </c>
      <c r="G524">
        <f>Tableau1[[#This Row],[P]]*Tableau1[[#This Row],[N(d1)]]-$P$4*EXP(-$N$4*$O$4)*Tableau1[[#This Row],[N(d2)]]</f>
        <v>433.39125311484349</v>
      </c>
      <c r="L524">
        <f>MAX(Tableau1[[#This Row],[P]]-$P$4)-Tableau1[[#This Row],[C]]</f>
        <v>-6.3912531148434937</v>
      </c>
      <c r="M524">
        <f xml:space="preserve"> Tableau1[[#This Row],[C]] - 0.5 * (-50) * (Tableau1[[#This Row],[P]] - $P$4)</f>
        <v>11108.391253114843</v>
      </c>
    </row>
    <row r="525" spans="2:13" x14ac:dyDescent="0.3">
      <c r="B525">
        <v>523</v>
      </c>
      <c r="C525">
        <f t="shared" si="8"/>
        <v>2.4007828582937578</v>
      </c>
      <c r="D525">
        <f>Tableau1[[#This Row],[d1]]-$R$4*SQRT($O$4)</f>
        <v>1.5007828582937579</v>
      </c>
      <c r="E525">
        <f>NORMSDIST(Tableau1[[#This Row],[d1]])</f>
        <v>0.99181997935785648</v>
      </c>
      <c r="F525">
        <f>NORMSDIST(Tableau1[[#This Row],[d2]])</f>
        <v>0.93329413313523912</v>
      </c>
      <c r="G525">
        <f>Tableau1[[#This Row],[P]]*Tableau1[[#This Row],[N(d1)]]-$P$4*EXP(-$N$4*$O$4)*Tableau1[[#This Row],[N(d2)]]</f>
        <v>434.38304929470695</v>
      </c>
      <c r="L525">
        <f>MAX(Tableau1[[#This Row],[P]]-$P$4)-Tableau1[[#This Row],[C]]</f>
        <v>-6.3830492947069501</v>
      </c>
      <c r="M525">
        <f xml:space="preserve"> Tableau1[[#This Row],[C]] - 0.5 * (-50) * (Tableau1[[#This Row],[P]] - $P$4)</f>
        <v>11134.383049294707</v>
      </c>
    </row>
    <row r="526" spans="2:13" x14ac:dyDescent="0.3">
      <c r="B526">
        <v>524</v>
      </c>
      <c r="C526">
        <f t="shared" si="8"/>
        <v>2.4029053252450012</v>
      </c>
      <c r="D526">
        <f>Tableau1[[#This Row],[d1]]-$R$4*SQRT($O$4)</f>
        <v>1.5029053252450013</v>
      </c>
      <c r="E526">
        <f>NORMSDIST(Tableau1[[#This Row],[d1]])</f>
        <v>0.99186730106848742</v>
      </c>
      <c r="F526">
        <f>NORMSDIST(Tableau1[[#This Row],[d2]])</f>
        <v>0.93356827019840893</v>
      </c>
      <c r="G526">
        <f>Tableau1[[#This Row],[P]]*Tableau1[[#This Row],[N(d1)]]-$P$4*EXP(-$N$4*$O$4)*Tableau1[[#This Row],[N(d2)]]</f>
        <v>435.37489296255626</v>
      </c>
      <c r="L526">
        <f>MAX(Tableau1[[#This Row],[P]]-$P$4)-Tableau1[[#This Row],[C]]</f>
        <v>-6.3748929625562596</v>
      </c>
      <c r="M526">
        <f xml:space="preserve"> Tableau1[[#This Row],[C]] - 0.5 * (-50) * (Tableau1[[#This Row],[P]] - $P$4)</f>
        <v>11160.374892962556</v>
      </c>
    </row>
    <row r="527" spans="2:13" x14ac:dyDescent="0.3">
      <c r="B527">
        <v>525</v>
      </c>
      <c r="C527">
        <f t="shared" si="8"/>
        <v>2.4050237455456478</v>
      </c>
      <c r="D527">
        <f>Tableau1[[#This Row],[d1]]-$R$4*SQRT($O$4)</f>
        <v>1.5050237455456479</v>
      </c>
      <c r="E527">
        <f>NORMSDIST(Tableau1[[#This Row],[d1]])</f>
        <v>0.99191429251355967</v>
      </c>
      <c r="F527">
        <f>NORMSDIST(Tableau1[[#This Row],[d2]])</f>
        <v>0.9338410140247515</v>
      </c>
      <c r="G527">
        <f>Tableau1[[#This Row],[P]]*Tableau1[[#This Row],[N(d1)]]-$P$4*EXP(-$N$4*$O$4)*Tableau1[[#This Row],[N(d2)]]</f>
        <v>436.36678378675566</v>
      </c>
      <c r="L527">
        <f>MAX(Tableau1[[#This Row],[P]]-$P$4)-Tableau1[[#This Row],[C]]</f>
        <v>-6.3667837867556614</v>
      </c>
      <c r="M527">
        <f xml:space="preserve"> Tableau1[[#This Row],[C]] - 0.5 * (-50) * (Tableau1[[#This Row],[P]] - $P$4)</f>
        <v>11186.366783786756</v>
      </c>
    </row>
    <row r="528" spans="2:13" x14ac:dyDescent="0.3">
      <c r="B528">
        <v>526</v>
      </c>
      <c r="C528">
        <f t="shared" si="8"/>
        <v>2.4071381345968543</v>
      </c>
      <c r="D528">
        <f>Tableau1[[#This Row],[d1]]-$R$4*SQRT($O$4)</f>
        <v>1.5071381345968544</v>
      </c>
      <c r="E528">
        <f>NORMSDIST(Tableau1[[#This Row],[d1]])</f>
        <v>0.99196095641133997</v>
      </c>
      <c r="F528">
        <f>NORMSDIST(Tableau1[[#This Row],[d2]])</f>
        <v>0.93411237311203177</v>
      </c>
      <c r="G528">
        <f>Tableau1[[#This Row],[P]]*Tableau1[[#This Row],[N(d1)]]-$P$4*EXP(-$N$4*$O$4)*Tableau1[[#This Row],[N(d2)]]</f>
        <v>437.35872143840112</v>
      </c>
      <c r="L528">
        <f>MAX(Tableau1[[#This Row],[P]]-$P$4)-Tableau1[[#This Row],[C]]</f>
        <v>-6.358721438401119</v>
      </c>
      <c r="M528">
        <f xml:space="preserve"> Tableau1[[#This Row],[C]] - 0.5 * (-50) * (Tableau1[[#This Row],[P]] - $P$4)</f>
        <v>11212.358721438401</v>
      </c>
    </row>
    <row r="529" spans="2:13" x14ac:dyDescent="0.3">
      <c r="B529">
        <v>527</v>
      </c>
      <c r="C529">
        <f t="shared" si="8"/>
        <v>2.4092485077120238</v>
      </c>
      <c r="D529">
        <f>Tableau1[[#This Row],[d1]]-$R$4*SQRT($O$4)</f>
        <v>1.5092485077120239</v>
      </c>
      <c r="E529">
        <f>NORMSDIST(Tableau1[[#This Row],[d1]])</f>
        <v>0.99200729545419986</v>
      </c>
      <c r="F529">
        <f>NORMSDIST(Tableau1[[#This Row],[d2]])</f>
        <v>0.93438235589738505</v>
      </c>
      <c r="G529">
        <f>Tableau1[[#This Row],[P]]*Tableau1[[#This Row],[N(d1)]]-$P$4*EXP(-$N$4*$O$4)*Tableau1[[#This Row],[N(d2)]]</f>
        <v>438.35070559129372</v>
      </c>
      <c r="L529">
        <f>MAX(Tableau1[[#This Row],[P]]-$P$4)-Tableau1[[#This Row],[C]]</f>
        <v>-6.3507055912937176</v>
      </c>
      <c r="M529">
        <f xml:space="preserve"> Tableau1[[#This Row],[C]] - 0.5 * (-50) * (Tableau1[[#This Row],[P]] - $P$4)</f>
        <v>11238.350705591294</v>
      </c>
    </row>
    <row r="530" spans="2:13" x14ac:dyDescent="0.3">
      <c r="B530">
        <v>528</v>
      </c>
      <c r="C530">
        <f t="shared" si="8"/>
        <v>2.4113548801174676</v>
      </c>
      <c r="D530">
        <f>Tableau1[[#This Row],[d1]]-$R$4*SQRT($O$4)</f>
        <v>1.5113548801174677</v>
      </c>
      <c r="E530">
        <f>NORMSDIST(Tableau1[[#This Row],[d1]])</f>
        <v>0.99205331230889682</v>
      </c>
      <c r="F530">
        <f>NORMSDIST(Tableau1[[#This Row],[d2]])</f>
        <v>0.93465097075781123</v>
      </c>
      <c r="G530">
        <f>Tableau1[[#This Row],[P]]*Tableau1[[#This Row],[N(d1)]]-$P$4*EXP(-$N$4*$O$4)*Tableau1[[#This Row],[N(d2)]]</f>
        <v>439.3427359219138</v>
      </c>
      <c r="L530">
        <f>MAX(Tableau1[[#This Row],[P]]-$P$4)-Tableau1[[#This Row],[C]]</f>
        <v>-6.3427359219137998</v>
      </c>
      <c r="M530">
        <f xml:space="preserve"> Tableau1[[#This Row],[C]] - 0.5 * (-50) * (Tableau1[[#This Row],[P]] - $P$4)</f>
        <v>11264.342735921913</v>
      </c>
    </row>
    <row r="531" spans="2:13" x14ac:dyDescent="0.3">
      <c r="B531">
        <v>529</v>
      </c>
      <c r="C531">
        <f t="shared" si="8"/>
        <v>2.4134572669530652</v>
      </c>
      <c r="D531">
        <f>Tableau1[[#This Row],[d1]]-$R$4*SQRT($O$4)</f>
        <v>1.5134572669530653</v>
      </c>
      <c r="E531">
        <f>NORMSDIST(Tableau1[[#This Row],[d1]])</f>
        <v>0.99209900961685216</v>
      </c>
      <c r="F531">
        <f>NORMSDIST(Tableau1[[#This Row],[d2]])</f>
        <v>0.93491822601066521</v>
      </c>
      <c r="G531">
        <f>Tableau1[[#This Row],[P]]*Tableau1[[#This Row],[N(d1)]]-$P$4*EXP(-$N$4*$O$4)*Tableau1[[#This Row],[N(d2)]]</f>
        <v>440.33481210939624</v>
      </c>
      <c r="L531">
        <f>MAX(Tableau1[[#This Row],[P]]-$P$4)-Tableau1[[#This Row],[C]]</f>
        <v>-6.3348121093962391</v>
      </c>
      <c r="M531">
        <f xml:space="preserve"> Tableau1[[#This Row],[C]] - 0.5 * (-50) * (Tableau1[[#This Row],[P]] - $P$4)</f>
        <v>11290.334812109397</v>
      </c>
    </row>
    <row r="532" spans="2:13" x14ac:dyDescent="0.3">
      <c r="B532">
        <v>530</v>
      </c>
      <c r="C532">
        <f t="shared" si="8"/>
        <v>2.4155556832729186</v>
      </c>
      <c r="D532">
        <f>Tableau1[[#This Row],[d1]]-$R$4*SQRT($O$4)</f>
        <v>1.5155556832729187</v>
      </c>
      <c r="E532">
        <f>NORMSDIST(Tableau1[[#This Row],[d1]])</f>
        <v>0.992144389994425</v>
      </c>
      <c r="F532">
        <f>NORMSDIST(Tableau1[[#This Row],[d2]])</f>
        <v>0.93518412991414246</v>
      </c>
      <c r="G532">
        <f>Tableau1[[#This Row],[P]]*Tableau1[[#This Row],[N(d1)]]-$P$4*EXP(-$N$4*$O$4)*Tableau1[[#This Row],[N(d2)]]</f>
        <v>441.32693383550429</v>
      </c>
      <c r="L532">
        <f>MAX(Tableau1[[#This Row],[P]]-$P$4)-Tableau1[[#This Row],[C]]</f>
        <v>-6.3269338355042919</v>
      </c>
      <c r="M532">
        <f xml:space="preserve"> Tableau1[[#This Row],[C]] - 0.5 * (-50) * (Tableau1[[#This Row],[P]] - $P$4)</f>
        <v>11316.326933835504</v>
      </c>
    </row>
    <row r="533" spans="2:13" x14ac:dyDescent="0.3">
      <c r="B533">
        <v>531</v>
      </c>
      <c r="C533">
        <f t="shared" si="8"/>
        <v>2.4176501440459979</v>
      </c>
      <c r="D533">
        <f>Tableau1[[#This Row],[d1]]-$R$4*SQRT($O$4)</f>
        <v>1.517650144045998</v>
      </c>
      <c r="E533">
        <f>NORMSDIST(Tableau1[[#This Row],[d1]])</f>
        <v>0.99218945603318376</v>
      </c>
      <c r="F533">
        <f>NORMSDIST(Tableau1[[#This Row],[d2]])</f>
        <v>0.93544869066776082</v>
      </c>
      <c r="G533">
        <f>Tableau1[[#This Row],[P]]*Tableau1[[#This Row],[N(d1)]]-$P$4*EXP(-$N$4*$O$4)*Tableau1[[#This Row],[N(d2)]]</f>
        <v>442.31910078460567</v>
      </c>
      <c r="L533">
        <f>MAX(Tableau1[[#This Row],[P]]-$P$4)-Tableau1[[#This Row],[C]]</f>
        <v>-6.3191007846056664</v>
      </c>
      <c r="M533">
        <f xml:space="preserve"> Tableau1[[#This Row],[C]] - 0.5 * (-50) * (Tableau1[[#This Row],[P]] - $P$4)</f>
        <v>11342.319100784605</v>
      </c>
    </row>
    <row r="534" spans="2:13" x14ac:dyDescent="0.3">
      <c r="B534">
        <v>532</v>
      </c>
      <c r="C534">
        <f t="shared" si="8"/>
        <v>2.4197406641567816</v>
      </c>
      <c r="D534">
        <f>Tableau1[[#This Row],[d1]]-$R$4*SQRT($O$4)</f>
        <v>1.5197406641567817</v>
      </c>
      <c r="E534">
        <f>NORMSDIST(Tableau1[[#This Row],[d1]])</f>
        <v>0.99223421030017311</v>
      </c>
      <c r="F534">
        <f>NORMSDIST(Tableau1[[#This Row],[d2]])</f>
        <v>0.93571191641283635</v>
      </c>
      <c r="G534">
        <f>Tableau1[[#This Row],[P]]*Tableau1[[#This Row],[N(d1)]]-$P$4*EXP(-$N$4*$O$4)*Tableau1[[#This Row],[N(d2)]]</f>
        <v>443.311312643647</v>
      </c>
      <c r="L534">
        <f>MAX(Tableau1[[#This Row],[P]]-$P$4)-Tableau1[[#This Row],[C]]</f>
        <v>-6.3113126436469997</v>
      </c>
      <c r="M534">
        <f xml:space="preserve"> Tableau1[[#This Row],[C]] - 0.5 * (-50) * (Tableau1[[#This Row],[P]] - $P$4)</f>
        <v>11368.311312643647</v>
      </c>
    </row>
    <row r="535" spans="2:13" x14ac:dyDescent="0.3">
      <c r="B535">
        <v>533</v>
      </c>
      <c r="C535">
        <f t="shared" si="8"/>
        <v>2.4218272584058926</v>
      </c>
      <c r="D535">
        <f>Tableau1[[#This Row],[d1]]-$R$4*SQRT($O$4)</f>
        <v>1.5218272584058927</v>
      </c>
      <c r="E535">
        <f>NORMSDIST(Tableau1[[#This Row],[d1]])</f>
        <v>0.99227865533817905</v>
      </c>
      <c r="F535">
        <f>NORMSDIST(Tableau1[[#This Row],[d2]])</f>
        <v>0.93597381523295731</v>
      </c>
      <c r="G535">
        <f>Tableau1[[#This Row],[P]]*Tableau1[[#This Row],[N(d1)]]-$P$4*EXP(-$N$4*$O$4)*Tableau1[[#This Row],[N(d2)]]</f>
        <v>444.30356910212998</v>
      </c>
      <c r="L535">
        <f>MAX(Tableau1[[#This Row],[P]]-$P$4)-Tableau1[[#This Row],[C]]</f>
        <v>-6.303569102129984</v>
      </c>
      <c r="M535">
        <f xml:space="preserve"> Tableau1[[#This Row],[C]] - 0.5 * (-50) * (Tableau1[[#This Row],[P]] - $P$4)</f>
        <v>11394.30356910213</v>
      </c>
    </row>
    <row r="536" spans="2:13" x14ac:dyDescent="0.3">
      <c r="B536">
        <v>534</v>
      </c>
      <c r="C536">
        <f t="shared" si="8"/>
        <v>2.4239099415107264</v>
      </c>
      <c r="D536">
        <f>Tableau1[[#This Row],[d1]]-$R$4*SQRT($O$4)</f>
        <v>1.5239099415107265</v>
      </c>
      <c r="E536">
        <f>NORMSDIST(Tableau1[[#This Row],[d1]])</f>
        <v>0.99232279366598974</v>
      </c>
      <c r="F536">
        <f>NORMSDIST(Tableau1[[#This Row],[d2]])</f>
        <v>0.93623439515445139</v>
      </c>
      <c r="G536">
        <f>Tableau1[[#This Row],[P]]*Tableau1[[#This Row],[N(d1)]]-$P$4*EXP(-$N$4*$O$4)*Tableau1[[#This Row],[N(d2)]]</f>
        <v>445.29586985208698</v>
      </c>
      <c r="L536">
        <f>MAX(Tableau1[[#This Row],[P]]-$P$4)-Tableau1[[#This Row],[C]]</f>
        <v>-6.2958698520869802</v>
      </c>
      <c r="M536">
        <f xml:space="preserve"> Tableau1[[#This Row],[C]] - 0.5 * (-50) * (Tableau1[[#This Row],[P]] - $P$4)</f>
        <v>11420.295869852087</v>
      </c>
    </row>
    <row r="537" spans="2:13" x14ac:dyDescent="0.3">
      <c r="B537">
        <v>535</v>
      </c>
      <c r="C537">
        <f t="shared" si="8"/>
        <v>2.425988728106073</v>
      </c>
      <c r="D537">
        <f>Tableau1[[#This Row],[d1]]-$R$4*SQRT($O$4)</f>
        <v>1.5259887281060731</v>
      </c>
      <c r="E537">
        <f>NORMSDIST(Tableau1[[#This Row],[d1]])</f>
        <v>0.99236662777865348</v>
      </c>
      <c r="F537">
        <f>NORMSDIST(Tableau1[[#This Row],[d2]])</f>
        <v>0.93649366414684987</v>
      </c>
      <c r="G537">
        <f>Tableau1[[#This Row],[P]]*Tableau1[[#This Row],[N(d1)]]-$P$4*EXP(-$N$4*$O$4)*Tableau1[[#This Row],[N(d2)]]</f>
        <v>446.28821458805714</v>
      </c>
      <c r="L537">
        <f>MAX(Tableau1[[#This Row],[P]]-$P$4)-Tableau1[[#This Row],[C]]</f>
        <v>-6.2882145880571443</v>
      </c>
      <c r="M537">
        <f xml:space="preserve"> Tableau1[[#This Row],[C]] - 0.5 * (-50) * (Tableau1[[#This Row],[P]] - $P$4)</f>
        <v>11446.288214588058</v>
      </c>
    </row>
    <row r="538" spans="2:13" x14ac:dyDescent="0.3">
      <c r="B538">
        <v>536</v>
      </c>
      <c r="C538">
        <f t="shared" si="8"/>
        <v>2.4280636327447347</v>
      </c>
      <c r="D538">
        <f>Tableau1[[#This Row],[d1]]-$R$4*SQRT($O$4)</f>
        <v>1.5280636327447348</v>
      </c>
      <c r="E538">
        <f>NORMSDIST(Tableau1[[#This Row],[d1]])</f>
        <v>0.99241016014773398</v>
      </c>
      <c r="F538">
        <f>NORMSDIST(Tableau1[[#This Row],[d2]])</f>
        <v>0.93675163012334772</v>
      </c>
      <c r="G538">
        <f>Tableau1[[#This Row],[P]]*Tableau1[[#This Row],[N(d1)]]-$P$4*EXP(-$N$4*$O$4)*Tableau1[[#This Row],[N(d2)]]</f>
        <v>447.28060300706329</v>
      </c>
      <c r="L538">
        <f>MAX(Tableau1[[#This Row],[P]]-$P$4)-Tableau1[[#This Row],[C]]</f>
        <v>-6.2806030070632914</v>
      </c>
      <c r="M538">
        <f xml:space="preserve"> Tableau1[[#This Row],[C]] - 0.5 * (-50) * (Tableau1[[#This Row],[P]] - $P$4)</f>
        <v>11472.280603007064</v>
      </c>
    </row>
    <row r="539" spans="2:13" x14ac:dyDescent="0.3">
      <c r="B539">
        <v>537</v>
      </c>
      <c r="C539">
        <f t="shared" si="8"/>
        <v>2.4301346698981376</v>
      </c>
      <c r="D539">
        <f>Tableau1[[#This Row],[d1]]-$R$4*SQRT($O$4)</f>
        <v>1.5301346698981377</v>
      </c>
      <c r="E539">
        <f>NORMSDIST(Tableau1[[#This Row],[d1]])</f>
        <v>0.99245339322156179</v>
      </c>
      <c r="F539">
        <f>NORMSDIST(Tableau1[[#This Row],[d2]])</f>
        <v>0.93700830094125909</v>
      </c>
      <c r="G539">
        <f>Tableau1[[#This Row],[P]]*Tableau1[[#This Row],[N(d1)]]-$P$4*EXP(-$N$4*$O$4)*Tableau1[[#This Row],[N(d2)]]</f>
        <v>448.27303480858785</v>
      </c>
      <c r="L539">
        <f>MAX(Tableau1[[#This Row],[P]]-$P$4)-Tableau1[[#This Row],[C]]</f>
        <v>-6.2730348085878518</v>
      </c>
      <c r="M539">
        <f xml:space="preserve"> Tableau1[[#This Row],[C]] - 0.5 * (-50) * (Tableau1[[#This Row],[P]] - $P$4)</f>
        <v>11498.273034808588</v>
      </c>
    </row>
    <row r="540" spans="2:13" x14ac:dyDescent="0.3">
      <c r="B540">
        <v>538</v>
      </c>
      <c r="C540">
        <f t="shared" si="8"/>
        <v>2.4322018539569368</v>
      </c>
      <c r="D540">
        <f>Tableau1[[#This Row],[d1]]-$R$4*SQRT($O$4)</f>
        <v>1.5322018539569369</v>
      </c>
      <c r="E540">
        <f>NORMSDIST(Tableau1[[#This Row],[d1]])</f>
        <v>0.99249632942548338</v>
      </c>
      <c r="F540">
        <f>NORMSDIST(Tableau1[[#This Row],[d2]])</f>
        <v>0.93726368440246888</v>
      </c>
      <c r="G540">
        <f>Tableau1[[#This Row],[P]]*Tableau1[[#This Row],[N(d1)]]-$P$4*EXP(-$N$4*$O$4)*Tableau1[[#This Row],[N(d2)]]</f>
        <v>449.26550969455002</v>
      </c>
      <c r="L540">
        <f>MAX(Tableau1[[#This Row],[P]]-$P$4)-Tableau1[[#This Row],[C]]</f>
        <v>-6.265509694550019</v>
      </c>
      <c r="M540">
        <f xml:space="preserve"> Tableau1[[#This Row],[C]] - 0.5 * (-50) * (Tableau1[[#This Row],[P]] - $P$4)</f>
        <v>11524.265509694549</v>
      </c>
    </row>
    <row r="541" spans="2:13" x14ac:dyDescent="0.3">
      <c r="B541">
        <v>539</v>
      </c>
      <c r="C541">
        <f t="shared" si="8"/>
        <v>2.4342651992316182</v>
      </c>
      <c r="D541">
        <f>Tableau1[[#This Row],[d1]]-$R$4*SQRT($O$4)</f>
        <v>1.5342651992316183</v>
      </c>
      <c r="E541">
        <f>NORMSDIST(Tableau1[[#This Row],[d1]])</f>
        <v>0.9925389711621071</v>
      </c>
      <c r="F541">
        <f>NORMSDIST(Tableau1[[#This Row],[d2]])</f>
        <v>0.93751778825387999</v>
      </c>
      <c r="G541">
        <f>Tableau1[[#This Row],[P]]*Tableau1[[#This Row],[N(d1)]]-$P$4*EXP(-$N$4*$O$4)*Tableau1[[#This Row],[N(d2)]]</f>
        <v>450.2580273692833</v>
      </c>
      <c r="L541">
        <f>MAX(Tableau1[[#This Row],[P]]-$P$4)-Tableau1[[#This Row],[C]]</f>
        <v>-6.2580273692832975</v>
      </c>
      <c r="M541">
        <f xml:space="preserve"> Tableau1[[#This Row],[C]] - 0.5 * (-50) * (Tableau1[[#This Row],[P]] - $P$4)</f>
        <v>11550.258027369284</v>
      </c>
    </row>
    <row r="542" spans="2:13" x14ac:dyDescent="0.3">
      <c r="B542">
        <v>540</v>
      </c>
      <c r="C542">
        <f t="shared" si="8"/>
        <v>2.4363247199530882</v>
      </c>
      <c r="D542">
        <f>Tableau1[[#This Row],[d1]]-$R$4*SQRT($O$4)</f>
        <v>1.5363247199530883</v>
      </c>
      <c r="E542">
        <f>NORMSDIST(Tableau1[[#This Row],[d1]])</f>
        <v>0.99258132081154538</v>
      </c>
      <c r="F542">
        <f>NORMSDIST(Tableau1[[#This Row],[d2]])</f>
        <v>0.93777062018785684</v>
      </c>
      <c r="G542">
        <f>Tableau1[[#This Row],[P]]*Tableau1[[#This Row],[N(d1)]]-$P$4*EXP(-$N$4*$O$4)*Tableau1[[#This Row],[N(d2)]]</f>
        <v>451.25058753951214</v>
      </c>
      <c r="L542">
        <f>MAX(Tableau1[[#This Row],[P]]-$P$4)-Tableau1[[#This Row],[C]]</f>
        <v>-6.2505875395121393</v>
      </c>
      <c r="M542">
        <f xml:space="preserve"> Tableau1[[#This Row],[C]] - 0.5 * (-50) * (Tableau1[[#This Row],[P]] - $P$4)</f>
        <v>11576.250587539513</v>
      </c>
    </row>
    <row r="543" spans="2:13" x14ac:dyDescent="0.3">
      <c r="B543">
        <v>541</v>
      </c>
      <c r="C543">
        <f t="shared" si="8"/>
        <v>2.4383804302732677</v>
      </c>
      <c r="D543">
        <f>Tableau1[[#This Row],[d1]]-$R$4*SQRT($O$4)</f>
        <v>1.5383804302732678</v>
      </c>
      <c r="E543">
        <f>NORMSDIST(Tableau1[[#This Row],[d1]])</f>
        <v>0.99262338073165546</v>
      </c>
      <c r="F543">
        <f>NORMSDIST(Tableau1[[#This Row],[d2]])</f>
        <v>0.93802218784266456</v>
      </c>
      <c r="G543">
        <f>Tableau1[[#This Row],[P]]*Tableau1[[#This Row],[N(d1)]]-$P$4*EXP(-$N$4*$O$4)*Tableau1[[#This Row],[N(d2)]]</f>
        <v>452.24318991433012</v>
      </c>
      <c r="L543">
        <f>MAX(Tableau1[[#This Row],[P]]-$P$4)-Tableau1[[#This Row],[C]]</f>
        <v>-6.2431899143301166</v>
      </c>
      <c r="M543">
        <f xml:space="preserve"> Tableau1[[#This Row],[C]] - 0.5 * (-50) * (Tableau1[[#This Row],[P]] - $P$4)</f>
        <v>11602.24318991433</v>
      </c>
    </row>
    <row r="544" spans="2:13" x14ac:dyDescent="0.3">
      <c r="B544">
        <v>542</v>
      </c>
      <c r="C544">
        <f t="shared" si="8"/>
        <v>2.4404323442656723</v>
      </c>
      <c r="D544">
        <f>Tableau1[[#This Row],[d1]]-$R$4*SQRT($O$4)</f>
        <v>1.5404323442656724</v>
      </c>
      <c r="E544">
        <f>NORMSDIST(Tableau1[[#This Row],[d1]])</f>
        <v>0.99266515325827587</v>
      </c>
      <c r="F544">
        <f>NORMSDIST(Tableau1[[#This Row],[d2]])</f>
        <v>0.93827249880290442</v>
      </c>
      <c r="G544">
        <f>Tableau1[[#This Row],[P]]*Tableau1[[#This Row],[N(d1)]]-$P$4*EXP(-$N$4*$O$4)*Tableau1[[#This Row],[N(d2)]]</f>
        <v>453.23583420517781</v>
      </c>
      <c r="L544">
        <f>MAX(Tableau1[[#This Row],[P]]-$P$4)-Tableau1[[#This Row],[C]]</f>
        <v>-6.2358342051778095</v>
      </c>
      <c r="M544">
        <f xml:space="preserve"> Tableau1[[#This Row],[C]] - 0.5 * (-50) * (Tableau1[[#This Row],[P]] - $P$4)</f>
        <v>11628.235834205178</v>
      </c>
    </row>
    <row r="545" spans="2:13" x14ac:dyDescent="0.3">
      <c r="B545">
        <v>543</v>
      </c>
      <c r="C545">
        <f t="shared" si="8"/>
        <v>2.4424804759259939</v>
      </c>
      <c r="D545">
        <f>Tableau1[[#This Row],[d1]]-$R$4*SQRT($O$4)</f>
        <v>1.542480475925994</v>
      </c>
      <c r="E545">
        <f>NORMSDIST(Tableau1[[#This Row],[d1]])</f>
        <v>0.992706640705461</v>
      </c>
      <c r="F545">
        <f>NORMSDIST(Tableau1[[#This Row],[d2]])</f>
        <v>0.93852156059994574</v>
      </c>
      <c r="G545">
        <f>Tableau1[[#This Row],[P]]*Tableau1[[#This Row],[N(d1)]]-$P$4*EXP(-$N$4*$O$4)*Tableau1[[#This Row],[N(d2)]]</f>
        <v>454.22852012582041</v>
      </c>
      <c r="L545">
        <f>MAX(Tableau1[[#This Row],[P]]-$P$4)-Tableau1[[#This Row],[C]]</f>
        <v>-6.2285201258204097</v>
      </c>
      <c r="M545">
        <f xml:space="preserve"> Tableau1[[#This Row],[C]] - 0.5 * (-50) * (Tableau1[[#This Row],[P]] - $P$4)</f>
        <v>11654.22852012582</v>
      </c>
    </row>
    <row r="546" spans="2:13" x14ac:dyDescent="0.3">
      <c r="B546">
        <v>544</v>
      </c>
      <c r="C546">
        <f t="shared" si="8"/>
        <v>2.4445248391726682</v>
      </c>
      <c r="D546">
        <f>Tableau1[[#This Row],[d1]]-$R$4*SQRT($O$4)</f>
        <v>1.5445248391726683</v>
      </c>
      <c r="E546">
        <f>NORMSDIST(Tableau1[[#This Row],[d1]])</f>
        <v>0.99274784536571226</v>
      </c>
      <c r="F546">
        <f>NORMSDIST(Tableau1[[#This Row],[d2]])</f>
        <v>0.9387693807123525</v>
      </c>
      <c r="G546">
        <f>Tableau1[[#This Row],[P]]*Tableau1[[#This Row],[N(d1)]]-$P$4*EXP(-$N$4*$O$4)*Tableau1[[#This Row],[N(d2)]]</f>
        <v>455.22124739232669</v>
      </c>
      <c r="L546">
        <f>MAX(Tableau1[[#This Row],[P]]-$P$4)-Tableau1[[#This Row],[C]]</f>
        <v>-6.2212473923266884</v>
      </c>
      <c r="M546">
        <f xml:space="preserve"> Tableau1[[#This Row],[C]] - 0.5 * (-50) * (Tableau1[[#This Row],[P]] - $P$4)</f>
        <v>11680.221247392326</v>
      </c>
    </row>
    <row r="547" spans="2:13" x14ac:dyDescent="0.3">
      <c r="B547">
        <v>545</v>
      </c>
      <c r="C547">
        <f t="shared" si="8"/>
        <v>2.4465654478474481</v>
      </c>
      <c r="D547">
        <f>Tableau1[[#This Row],[d1]]-$R$4*SQRT($O$4)</f>
        <v>1.5465654478474482</v>
      </c>
      <c r="E547">
        <f>NORMSDIST(Tableau1[[#This Row],[d1]])</f>
        <v>0.99278876951020689</v>
      </c>
      <c r="F547">
        <f>NORMSDIST(Tableau1[[#This Row],[d2]])</f>
        <v>0.93901596656630815</v>
      </c>
      <c r="G547">
        <f>Tableau1[[#This Row],[P]]*Tableau1[[#This Row],[N(d1)]]-$P$4*EXP(-$N$4*$O$4)*Tableau1[[#This Row],[N(d2)]]</f>
        <v>456.21401572304694</v>
      </c>
      <c r="L547">
        <f>MAX(Tableau1[[#This Row],[P]]-$P$4)-Tableau1[[#This Row],[C]]</f>
        <v>-6.2140157230469413</v>
      </c>
      <c r="M547">
        <f xml:space="preserve"> Tableau1[[#This Row],[C]] - 0.5 * (-50) * (Tableau1[[#This Row],[P]] - $P$4)</f>
        <v>11706.214015723046</v>
      </c>
    </row>
    <row r="548" spans="2:13" x14ac:dyDescent="0.3">
      <c r="B548">
        <v>546</v>
      </c>
      <c r="C548">
        <f t="shared" si="8"/>
        <v>2.4486023157159598</v>
      </c>
      <c r="D548">
        <f>Tableau1[[#This Row],[d1]]-$R$4*SQRT($O$4)</f>
        <v>1.5486023157159599</v>
      </c>
      <c r="E548">
        <f>NORMSDIST(Tableau1[[#This Row],[d1]])</f>
        <v>0.99282941538902381</v>
      </c>
      <c r="F548">
        <f>NORMSDIST(Tableau1[[#This Row],[d2]])</f>
        <v>0.93926132553603436</v>
      </c>
      <c r="G548">
        <f>Tableau1[[#This Row],[P]]*Tableau1[[#This Row],[N(d1)]]-$P$4*EXP(-$N$4*$O$4)*Tableau1[[#This Row],[N(d2)]]</f>
        <v>457.20682483859207</v>
      </c>
      <c r="L548">
        <f>MAX(Tableau1[[#This Row],[P]]-$P$4)-Tableau1[[#This Row],[C]]</f>
        <v>-6.2068248385920697</v>
      </c>
      <c r="M548">
        <f xml:space="preserve"> Tableau1[[#This Row],[C]] - 0.5 * (-50) * (Tableau1[[#This Row],[P]] - $P$4)</f>
        <v>11732.206824838591</v>
      </c>
    </row>
    <row r="549" spans="2:13" x14ac:dyDescent="0.3">
      <c r="B549">
        <v>547</v>
      </c>
      <c r="C549">
        <f t="shared" si="8"/>
        <v>2.4506354564682673</v>
      </c>
      <c r="D549">
        <f>Tableau1[[#This Row],[d1]]-$R$4*SQRT($O$4)</f>
        <v>1.5506354564682674</v>
      </c>
      <c r="E549">
        <f>NORMSDIST(Tableau1[[#This Row],[d1]])</f>
        <v>0.99286978523136704</v>
      </c>
      <c r="F549">
        <f>NORMSDIST(Tableau1[[#This Row],[d2]])</f>
        <v>0.9395054649442085</v>
      </c>
      <c r="G549">
        <f>Tableau1[[#This Row],[P]]*Tableau1[[#This Row],[N(d1)]]-$P$4*EXP(-$N$4*$O$4)*Tableau1[[#This Row],[N(d2)]]</f>
        <v>458.199674461813</v>
      </c>
      <c r="L549">
        <f>MAX(Tableau1[[#This Row],[P]]-$P$4)-Tableau1[[#This Row],[C]]</f>
        <v>-6.1996744618130037</v>
      </c>
      <c r="M549">
        <f xml:space="preserve"> Tableau1[[#This Row],[C]] - 0.5 * (-50) * (Tableau1[[#This Row],[P]] - $P$4)</f>
        <v>11758.199674461814</v>
      </c>
    </row>
    <row r="550" spans="2:13" x14ac:dyDescent="0.3">
      <c r="B550">
        <v>548</v>
      </c>
      <c r="C550">
        <f t="shared" si="8"/>
        <v>2.4526648837194163</v>
      </c>
      <c r="D550">
        <f>Tableau1[[#This Row],[d1]]-$R$4*SQRT($O$4)</f>
        <v>1.5526648837194164</v>
      </c>
      <c r="E550">
        <f>NORMSDIST(Tableau1[[#This Row],[d1]])</f>
        <v>0.99290988124578594</v>
      </c>
      <c r="F550">
        <f>NORMSDIST(Tableau1[[#This Row],[d2]])</f>
        <v>0.9397483920623747</v>
      </c>
      <c r="G550">
        <f>Tableau1[[#This Row],[P]]*Tableau1[[#This Row],[N(d1)]]-$P$4*EXP(-$N$4*$O$4)*Tableau1[[#This Row],[N(d2)]]</f>
        <v>459.19256431777916</v>
      </c>
      <c r="L550">
        <f>MAX(Tableau1[[#This Row],[P]]-$P$4)-Tableau1[[#This Row],[C]]</f>
        <v>-6.1925643177791585</v>
      </c>
      <c r="M550">
        <f xml:space="preserve"> Tableau1[[#This Row],[C]] - 0.5 * (-50) * (Tableau1[[#This Row],[P]] - $P$4)</f>
        <v>11784.192564317778</v>
      </c>
    </row>
    <row r="551" spans="2:13" x14ac:dyDescent="0.3">
      <c r="B551">
        <v>549</v>
      </c>
      <c r="C551">
        <f t="shared" si="8"/>
        <v>2.4546906110099886</v>
      </c>
      <c r="D551">
        <f>Tableau1[[#This Row],[d1]]-$R$4*SQRT($O$4)</f>
        <v>1.5546906110099887</v>
      </c>
      <c r="E551">
        <f>NORMSDIST(Tableau1[[#This Row],[d1]])</f>
        <v>0.99294970562039342</v>
      </c>
      <c r="F551">
        <f>NORMSDIST(Tableau1[[#This Row],[d2]])</f>
        <v>0.93999011411135336</v>
      </c>
      <c r="G551">
        <f>Tableau1[[#This Row],[P]]*Tableau1[[#This Row],[N(d1)]]-$P$4*EXP(-$N$4*$O$4)*Tableau1[[#This Row],[N(d2)]]</f>
        <v>460.18549413375825</v>
      </c>
      <c r="L551">
        <f>MAX(Tableau1[[#This Row],[P]]-$P$4)-Tableau1[[#This Row],[C]]</f>
        <v>-6.1854941337582545</v>
      </c>
      <c r="M551">
        <f xml:space="preserve"> Tableau1[[#This Row],[C]] - 0.5 * (-50) * (Tableau1[[#This Row],[P]] - $P$4)</f>
        <v>11810.185494133759</v>
      </c>
    </row>
    <row r="552" spans="2:13" x14ac:dyDescent="0.3">
      <c r="B552">
        <v>550</v>
      </c>
      <c r="C552">
        <f t="shared" si="8"/>
        <v>2.4567126518066398</v>
      </c>
      <c r="D552">
        <f>Tableau1[[#This Row],[d1]]-$R$4*SQRT($O$4)</f>
        <v>1.5567126518066399</v>
      </c>
      <c r="E552">
        <f>NORMSDIST(Tableau1[[#This Row],[d1]])</f>
        <v>0.99298926052308134</v>
      </c>
      <c r="F552">
        <f>NORMSDIST(Tableau1[[#This Row],[d2]])</f>
        <v>0.94023063826164588</v>
      </c>
      <c r="G552">
        <f>Tableau1[[#This Row],[P]]*Tableau1[[#This Row],[N(d1)]]-$P$4*EXP(-$N$4*$O$4)*Tableau1[[#This Row],[N(d2)]]</f>
        <v>461.17846363919614</v>
      </c>
      <c r="L552">
        <f>MAX(Tableau1[[#This Row],[P]]-$P$4)-Tableau1[[#This Row],[C]]</f>
        <v>-6.1784636391961385</v>
      </c>
      <c r="M552">
        <f xml:space="preserve"> Tableau1[[#This Row],[C]] - 0.5 * (-50) * (Tableau1[[#This Row],[P]] - $P$4)</f>
        <v>11836.178463639197</v>
      </c>
    </row>
    <row r="553" spans="2:13" x14ac:dyDescent="0.3">
      <c r="B553">
        <v>551</v>
      </c>
      <c r="C553">
        <f t="shared" si="8"/>
        <v>2.4587310195026375</v>
      </c>
      <c r="D553">
        <f>Tableau1[[#This Row],[d1]]-$R$4*SQRT($O$4)</f>
        <v>1.5587310195026376</v>
      </c>
      <c r="E553">
        <f>NORMSDIST(Tableau1[[#This Row],[d1]])</f>
        <v>0.99302854810173313</v>
      </c>
      <c r="F553">
        <f>NORMSDIST(Tableau1[[#This Row],[d2]])</f>
        <v>0.94046997163383628</v>
      </c>
      <c r="G553">
        <f>Tableau1[[#This Row],[P]]*Tableau1[[#This Row],[N(d1)]]-$P$4*EXP(-$N$4*$O$4)*Tableau1[[#This Row],[N(d2)]]</f>
        <v>462.1714725656966</v>
      </c>
      <c r="L553">
        <f>MAX(Tableau1[[#This Row],[P]]-$P$4)-Tableau1[[#This Row],[C]]</f>
        <v>-6.1714725656966039</v>
      </c>
      <c r="M553">
        <f xml:space="preserve"> Tableau1[[#This Row],[C]] - 0.5 * (-50) * (Tableau1[[#This Row],[P]] - $P$4)</f>
        <v>11862.171472565697</v>
      </c>
    </row>
    <row r="554" spans="2:13" x14ac:dyDescent="0.3">
      <c r="B554">
        <v>552</v>
      </c>
      <c r="C554">
        <f t="shared" si="8"/>
        <v>2.4607457274183937</v>
      </c>
      <c r="D554">
        <f>Tableau1[[#This Row],[d1]]-$R$4*SQRT($O$4)</f>
        <v>1.5607457274183938</v>
      </c>
      <c r="E554">
        <f>NORMSDIST(Tableau1[[#This Row],[d1]])</f>
        <v>0.99306757048443428</v>
      </c>
      <c r="F554">
        <f>NORMSDIST(Tableau1[[#This Row],[d2]])</f>
        <v>0.94070812129898862</v>
      </c>
      <c r="G554">
        <f>Tableau1[[#This Row],[P]]*Tableau1[[#This Row],[N(d1)]]-$P$4*EXP(-$N$4*$O$4)*Tableau1[[#This Row],[N(d2)]]</f>
        <v>463.16452064700115</v>
      </c>
      <c r="L554">
        <f>MAX(Tableau1[[#This Row],[P]]-$P$4)-Tableau1[[#This Row],[C]]</f>
        <v>-6.1645206470011544</v>
      </c>
      <c r="M554">
        <f xml:space="preserve"> Tableau1[[#This Row],[C]] - 0.5 * (-50) * (Tableau1[[#This Row],[P]] - $P$4)</f>
        <v>11888.164520647002</v>
      </c>
    </row>
    <row r="555" spans="2:13" x14ac:dyDescent="0.3">
      <c r="B555">
        <v>553</v>
      </c>
      <c r="C555">
        <f t="shared" si="8"/>
        <v>2.4627567888019932</v>
      </c>
      <c r="D555">
        <f>Tableau1[[#This Row],[d1]]-$R$4*SQRT($O$4)</f>
        <v>1.5627567888019933</v>
      </c>
      <c r="E555">
        <f>NORMSDIST(Tableau1[[#This Row],[d1]])</f>
        <v>0.99310632977967994</v>
      </c>
      <c r="F555">
        <f>NORMSDIST(Tableau1[[#This Row],[d2]])</f>
        <v>0.94094509427904172</v>
      </c>
      <c r="G555">
        <f>Tableau1[[#This Row],[P]]*Tableau1[[#This Row],[N(d1)]]-$P$4*EXP(-$N$4*$O$4)*Tableau1[[#This Row],[N(d2)]]</f>
        <v>464.15760761896985</v>
      </c>
      <c r="L555">
        <f>MAX(Tableau1[[#This Row],[P]]-$P$4)-Tableau1[[#This Row],[C]]</f>
        <v>-6.1576076189698483</v>
      </c>
      <c r="M555">
        <f xml:space="preserve"> Tableau1[[#This Row],[C]] - 0.5 * (-50) * (Tableau1[[#This Row],[P]] - $P$4)</f>
        <v>11914.15760761897</v>
      </c>
    </row>
    <row r="556" spans="2:13" x14ac:dyDescent="0.3">
      <c r="B556">
        <v>554</v>
      </c>
      <c r="C556">
        <f t="shared" si="8"/>
        <v>2.4647642168297144</v>
      </c>
      <c r="D556">
        <f>Tableau1[[#This Row],[d1]]-$R$4*SQRT($O$4)</f>
        <v>1.5647642168297144</v>
      </c>
      <c r="E556">
        <f>NORMSDIST(Tableau1[[#This Row],[d1]])</f>
        <v>0.99314482807658055</v>
      </c>
      <c r="F556">
        <f>NORMSDIST(Tableau1[[#This Row],[d2]])</f>
        <v>0.94118089754719925</v>
      </c>
      <c r="G556">
        <f>Tableau1[[#This Row],[P]]*Tableau1[[#This Row],[N(d1)]]-$P$4*EXP(-$N$4*$O$4)*Tableau1[[#This Row],[N(d2)]]</f>
        <v>465.15073321956129</v>
      </c>
      <c r="L556">
        <f>MAX(Tableau1[[#This Row],[P]]-$P$4)-Tableau1[[#This Row],[C]]</f>
        <v>-6.1507332195612889</v>
      </c>
      <c r="M556">
        <f xml:space="preserve"> Tableau1[[#This Row],[C]] - 0.5 * (-50) * (Tableau1[[#This Row],[P]] - $P$4)</f>
        <v>11940.150733219562</v>
      </c>
    </row>
    <row r="557" spans="2:13" x14ac:dyDescent="0.3">
      <c r="B557">
        <v>555</v>
      </c>
      <c r="C557">
        <f t="shared" si="8"/>
        <v>2.4667680246065484</v>
      </c>
      <c r="D557">
        <f>Tableau1[[#This Row],[d1]]-$R$4*SQRT($O$4)</f>
        <v>1.5667680246065485</v>
      </c>
      <c r="E557">
        <f>NORMSDIST(Tableau1[[#This Row],[d1]])</f>
        <v>0.99318306744506468</v>
      </c>
      <c r="F557">
        <f>NORMSDIST(Tableau1[[#This Row],[d2]])</f>
        <v>0.94141553802831779</v>
      </c>
      <c r="G557">
        <f>Tableau1[[#This Row],[P]]*Tableau1[[#This Row],[N(d1)]]-$P$4*EXP(-$N$4*$O$4)*Tableau1[[#This Row],[N(d2)]]</f>
        <v>466.14389718881375</v>
      </c>
      <c r="L557">
        <f>MAX(Tableau1[[#This Row],[P]]-$P$4)-Tableau1[[#This Row],[C]]</f>
        <v>-6.143897188813753</v>
      </c>
      <c r="M557">
        <f xml:space="preserve"> Tableau1[[#This Row],[C]] - 0.5 * (-50) * (Tableau1[[#This Row],[P]] - $P$4)</f>
        <v>11966.143897188813</v>
      </c>
    </row>
    <row r="558" spans="2:13" x14ac:dyDescent="0.3">
      <c r="B558">
        <v>556</v>
      </c>
      <c r="C558">
        <f t="shared" si="8"/>
        <v>2.4687682251667127</v>
      </c>
      <c r="D558">
        <f>Tableau1[[#This Row],[d1]]-$R$4*SQRT($O$4)</f>
        <v>1.5687682251667128</v>
      </c>
      <c r="E558">
        <f>NORMSDIST(Tableau1[[#This Row],[d1]])</f>
        <v>0.9932210499360794</v>
      </c>
      <c r="F558">
        <f>NORMSDIST(Tableau1[[#This Row],[d2]])</f>
        <v>0.94164902259928973</v>
      </c>
      <c r="G558">
        <f>Tableau1[[#This Row],[P]]*Tableau1[[#This Row],[N(d1)]]-$P$4*EXP(-$N$4*$O$4)*Tableau1[[#This Row],[N(d2)]]</f>
        <v>467.13709926882581</v>
      </c>
      <c r="L558">
        <f>MAX(Tableau1[[#This Row],[P]]-$P$4)-Tableau1[[#This Row],[C]]</f>
        <v>-6.137099268825807</v>
      </c>
      <c r="M558">
        <f xml:space="preserve"> Tableau1[[#This Row],[C]] - 0.5 * (-50) * (Tableau1[[#This Row],[P]] - $P$4)</f>
        <v>11992.137099268826</v>
      </c>
    </row>
    <row r="559" spans="2:13" x14ac:dyDescent="0.3">
      <c r="B559">
        <v>557</v>
      </c>
      <c r="C559">
        <f t="shared" si="8"/>
        <v>2.4707648314741588</v>
      </c>
      <c r="D559">
        <f>Tableau1[[#This Row],[d1]]-$R$4*SQRT($O$4)</f>
        <v>1.5707648314741589</v>
      </c>
      <c r="E559">
        <f>NORMSDIST(Tableau1[[#This Row],[d1]])</f>
        <v>0.99325877758178871</v>
      </c>
      <c r="F559">
        <f>NORMSDIST(Tableau1[[#This Row],[d2]])</f>
        <v>0.94188135808942441</v>
      </c>
      <c r="G559">
        <f>Tableau1[[#This Row],[P]]*Tableau1[[#This Row],[N(d1)]]-$P$4*EXP(-$N$4*$O$4)*Tableau1[[#This Row],[N(d2)]]</f>
        <v>468.13033920373766</v>
      </c>
      <c r="L559">
        <f>MAX(Tableau1[[#This Row],[P]]-$P$4)-Tableau1[[#This Row],[C]]</f>
        <v>-6.1303392037376625</v>
      </c>
      <c r="M559">
        <f xml:space="preserve"> Tableau1[[#This Row],[C]] - 0.5 * (-50) * (Tableau1[[#This Row],[P]] - $P$4)</f>
        <v>12018.130339203737</v>
      </c>
    </row>
    <row r="560" spans="2:13" x14ac:dyDescent="0.3">
      <c r="B560">
        <v>558</v>
      </c>
      <c r="C560">
        <f t="shared" si="8"/>
        <v>2.4727578564230779</v>
      </c>
      <c r="D560">
        <f>Tableau1[[#This Row],[d1]]-$R$4*SQRT($O$4)</f>
        <v>1.572757856423078</v>
      </c>
      <c r="E560">
        <f>NORMSDIST(Tableau1[[#This Row],[d1]])</f>
        <v>0.99329625239576946</v>
      </c>
      <c r="F560">
        <f>NORMSDIST(Tableau1[[#This Row],[d2]])</f>
        <v>0.94211255128082472</v>
      </c>
      <c r="G560">
        <f>Tableau1[[#This Row],[P]]*Tableau1[[#This Row],[N(d1)]]-$P$4*EXP(-$N$4*$O$4)*Tableau1[[#This Row],[N(d2)]]</f>
        <v>469.12361673971236</v>
      </c>
      <c r="L560">
        <f>MAX(Tableau1[[#This Row],[P]]-$P$4)-Tableau1[[#This Row],[C]]</f>
        <v>-6.1236167397123609</v>
      </c>
      <c r="M560">
        <f xml:space="preserve"> Tableau1[[#This Row],[C]] - 0.5 * (-50) * (Tableau1[[#This Row],[P]] - $P$4)</f>
        <v>12044.123616739713</v>
      </c>
    </row>
    <row r="561" spans="2:13" x14ac:dyDescent="0.3">
      <c r="B561">
        <v>559</v>
      </c>
      <c r="C561">
        <f t="shared" si="8"/>
        <v>2.4747473128383981</v>
      </c>
      <c r="D561">
        <f>Tableau1[[#This Row],[d1]]-$R$4*SQRT($O$4)</f>
        <v>1.5747473128383982</v>
      </c>
      <c r="E561">
        <f>NORMSDIST(Tableau1[[#This Row],[d1]])</f>
        <v>0.99333347637320479</v>
      </c>
      <c r="F561">
        <f>NORMSDIST(Tableau1[[#This Row],[d2]])</f>
        <v>0.9423426089087602</v>
      </c>
      <c r="G561">
        <f>Tableau1[[#This Row],[P]]*Tableau1[[#This Row],[N(d1)]]-$P$4*EXP(-$N$4*$O$4)*Tableau1[[#This Row],[N(d2)]]</f>
        <v>470.1169316249173</v>
      </c>
      <c r="L561">
        <f>MAX(Tableau1[[#This Row],[P]]-$P$4)-Tableau1[[#This Row],[C]]</f>
        <v>-6.1169316249172994</v>
      </c>
      <c r="M561">
        <f xml:space="preserve"> Tableau1[[#This Row],[C]] - 0.5 * (-50) * (Tableau1[[#This Row],[P]] - $P$4)</f>
        <v>12070.116931624918</v>
      </c>
    </row>
    <row r="562" spans="2:13" x14ac:dyDescent="0.3">
      <c r="B562">
        <v>560</v>
      </c>
      <c r="C562">
        <f t="shared" si="8"/>
        <v>2.4767332134762823</v>
      </c>
      <c r="D562">
        <f>Tableau1[[#This Row],[d1]]-$R$4*SQRT($O$4)</f>
        <v>1.5767332134762824</v>
      </c>
      <c r="E562">
        <f>NORMSDIST(Tableau1[[#This Row],[d1]])</f>
        <v>0.99337045149107517</v>
      </c>
      <c r="F562">
        <f>NORMSDIST(Tableau1[[#This Row],[d2]])</f>
        <v>0.94257153766203872</v>
      </c>
      <c r="G562">
        <f>Tableau1[[#This Row],[P]]*Tableau1[[#This Row],[N(d1)]]-$P$4*EXP(-$N$4*$O$4)*Tableau1[[#This Row],[N(d2)]]</f>
        <v>471.11028360950576</v>
      </c>
      <c r="L562">
        <f>MAX(Tableau1[[#This Row],[P]]-$P$4)-Tableau1[[#This Row],[C]]</f>
        <v>-6.1102836095057569</v>
      </c>
      <c r="M562">
        <f xml:space="preserve"> Tableau1[[#This Row],[C]] - 0.5 * (-50) * (Tableau1[[#This Row],[P]] - $P$4)</f>
        <v>12096.110283609505</v>
      </c>
    </row>
    <row r="563" spans="2:13" x14ac:dyDescent="0.3">
      <c r="B563">
        <v>561</v>
      </c>
      <c r="C563">
        <f t="shared" si="8"/>
        <v>2.4787155710246167</v>
      </c>
      <c r="D563">
        <f>Tableau1[[#This Row],[d1]]-$R$4*SQRT($O$4)</f>
        <v>1.5787155710246168</v>
      </c>
      <c r="E563">
        <f>NORMSDIST(Tableau1[[#This Row],[d1]])</f>
        <v>0.99340717970834824</v>
      </c>
      <c r="F563">
        <f>NORMSDIST(Tableau1[[#This Row],[d2]])</f>
        <v>0.94279934418337197</v>
      </c>
      <c r="G563">
        <f>Tableau1[[#This Row],[P]]*Tableau1[[#This Row],[N(d1)]]-$P$4*EXP(-$N$4*$O$4)*Tableau1[[#This Row],[N(d2)]]</f>
        <v>472.10367244559939</v>
      </c>
      <c r="L563">
        <f>MAX(Tableau1[[#This Row],[P]]-$P$4)-Tableau1[[#This Row],[C]]</f>
        <v>-6.1036724455993863</v>
      </c>
      <c r="M563">
        <f xml:space="preserve"> Tableau1[[#This Row],[C]] - 0.5 * (-50) * (Tableau1[[#This Row],[P]] - $P$4)</f>
        <v>12122.103672445599</v>
      </c>
    </row>
    <row r="564" spans="2:13" x14ac:dyDescent="0.3">
      <c r="B564">
        <v>562</v>
      </c>
      <c r="C564">
        <f t="shared" si="8"/>
        <v>2.4806943981035001</v>
      </c>
      <c r="D564">
        <f>Tableau1[[#This Row],[d1]]-$R$4*SQRT($O$4)</f>
        <v>1.5806943981035002</v>
      </c>
      <c r="E564">
        <f>NORMSDIST(Tableau1[[#This Row],[d1]])</f>
        <v>0.99344366296616471</v>
      </c>
      <c r="F564">
        <f>NORMSDIST(Tableau1[[#This Row],[d2]])</f>
        <v>0.94302603506974059</v>
      </c>
      <c r="G564">
        <f>Tableau1[[#This Row],[P]]*Tableau1[[#This Row],[N(d1)]]-$P$4*EXP(-$N$4*$O$4)*Tableau1[[#This Row],[N(d2)]]</f>
        <v>473.09709788726951</v>
      </c>
      <c r="L564">
        <f>MAX(Tableau1[[#This Row],[P]]-$P$4)-Tableau1[[#This Row],[C]]</f>
        <v>-6.0970978872695127</v>
      </c>
      <c r="M564">
        <f xml:space="preserve"> Tableau1[[#This Row],[C]] - 0.5 * (-50) * (Tableau1[[#This Row],[P]] - $P$4)</f>
        <v>12148.09709788727</v>
      </c>
    </row>
    <row r="565" spans="2:13" x14ac:dyDescent="0.3">
      <c r="B565">
        <v>563</v>
      </c>
      <c r="C565">
        <f t="shared" si="8"/>
        <v>2.4826697072657216</v>
      </c>
      <c r="D565">
        <f>Tableau1[[#This Row],[d1]]-$R$4*SQRT($O$4)</f>
        <v>1.5826697072657216</v>
      </c>
      <c r="E565">
        <f>NORMSDIST(Tableau1[[#This Row],[d1]])</f>
        <v>0.99347990318802382</v>
      </c>
      <c r="F565">
        <f>NORMSDIST(Tableau1[[#This Row],[d2]])</f>
        <v>0.94325161687275316</v>
      </c>
      <c r="G565">
        <f>Tableau1[[#This Row],[P]]*Tableau1[[#This Row],[N(d1)]]-$P$4*EXP(-$N$4*$O$4)*Tableau1[[#This Row],[N(d2)]]</f>
        <v>474.09055969051985</v>
      </c>
      <c r="L565">
        <f>MAX(Tableau1[[#This Row],[P]]-$P$4)-Tableau1[[#This Row],[C]]</f>
        <v>-6.0905596905198536</v>
      </c>
      <c r="M565">
        <f xml:space="preserve"> Tableau1[[#This Row],[C]] - 0.5 * (-50) * (Tableau1[[#This Row],[P]] - $P$4)</f>
        <v>12174.09055969052</v>
      </c>
    </row>
    <row r="566" spans="2:13" x14ac:dyDescent="0.3">
      <c r="B566">
        <v>564</v>
      </c>
      <c r="C566">
        <f t="shared" si="8"/>
        <v>2.4846415109972422</v>
      </c>
      <c r="D566">
        <f>Tableau1[[#This Row],[d1]]-$R$4*SQRT($O$4)</f>
        <v>1.5846415109972423</v>
      </c>
      <c r="E566">
        <f>NORMSDIST(Tableau1[[#This Row],[d1]])</f>
        <v>0.99351590227996567</v>
      </c>
      <c r="F566">
        <f>NORMSDIST(Tableau1[[#This Row],[d2]])</f>
        <v>0.94347609609900518</v>
      </c>
      <c r="G566">
        <f>Tableau1[[#This Row],[P]]*Tableau1[[#This Row],[N(d1)]]-$P$4*EXP(-$N$4*$O$4)*Tableau1[[#This Row],[N(d2)]]</f>
        <v>475.08405761326912</v>
      </c>
      <c r="L566">
        <f>MAX(Tableau1[[#This Row],[P]]-$P$4)-Tableau1[[#This Row],[C]]</f>
        <v>-6.084057613269124</v>
      </c>
      <c r="M566">
        <f xml:space="preserve"> Tableau1[[#This Row],[C]] - 0.5 * (-50) * (Tableau1[[#This Row],[P]] - $P$4)</f>
        <v>12200.084057613269</v>
      </c>
    </row>
    <row r="567" spans="2:13" x14ac:dyDescent="0.3">
      <c r="B567">
        <v>565</v>
      </c>
      <c r="C567">
        <f t="shared" si="8"/>
        <v>2.4866098217176669</v>
      </c>
      <c r="D567">
        <f>Tableau1[[#This Row],[d1]]-$R$4*SQRT($O$4)</f>
        <v>1.586609821717667</v>
      </c>
      <c r="E567">
        <f>NORMSDIST(Tableau1[[#This Row],[d1]])</f>
        <v>0.9935516621307513</v>
      </c>
      <c r="F567">
        <f>NORMSDIST(Tableau1[[#This Row],[d2]])</f>
        <v>0.94369947921043218</v>
      </c>
      <c r="G567">
        <f>Tableau1[[#This Row],[P]]*Tableau1[[#This Row],[N(d1)]]-$P$4*EXP(-$N$4*$O$4)*Tableau1[[#This Row],[N(d2)]]</f>
        <v>476.07759141533302</v>
      </c>
      <c r="L567">
        <f>MAX(Tableau1[[#This Row],[P]]-$P$4)-Tableau1[[#This Row],[C]]</f>
        <v>-6.0775914153330177</v>
      </c>
      <c r="M567">
        <f xml:space="preserve"> Tableau1[[#This Row],[C]] - 0.5 * (-50) * (Tableau1[[#This Row],[P]] - $P$4)</f>
        <v>12226.077591415333</v>
      </c>
    </row>
    <row r="568" spans="2:13" x14ac:dyDescent="0.3">
      <c r="B568">
        <v>566</v>
      </c>
      <c r="C568">
        <f t="shared" si="8"/>
        <v>2.4885746517807132</v>
      </c>
      <c r="D568">
        <f>Tableau1[[#This Row],[d1]]-$R$4*SQRT($O$4)</f>
        <v>1.5885746517807133</v>
      </c>
      <c r="E568">
        <f>NORMSDIST(Tableau1[[#This Row],[d1]])</f>
        <v>0.99358718461204132</v>
      </c>
      <c r="F568">
        <f>NORMSDIST(Tableau1[[#This Row],[d2]])</f>
        <v>0.94392177262466093</v>
      </c>
      <c r="G568">
        <f>Tableau1[[#This Row],[P]]*Tableau1[[#This Row],[N(d1)]]-$P$4*EXP(-$N$4*$O$4)*Tableau1[[#This Row],[N(d2)]]</f>
        <v>477.07116085840767</v>
      </c>
      <c r="L568">
        <f>MAX(Tableau1[[#This Row],[P]]-$P$4)-Tableau1[[#This Row],[C]]</f>
        <v>-6.0711608584076657</v>
      </c>
      <c r="M568">
        <f xml:space="preserve"> Tableau1[[#This Row],[C]] - 0.5 * (-50) * (Tableau1[[#This Row],[P]] - $P$4)</f>
        <v>12252.071160858408</v>
      </c>
    </row>
    <row r="569" spans="2:13" x14ac:dyDescent="0.3">
      <c r="B569">
        <v>567</v>
      </c>
      <c r="C569">
        <f t="shared" si="8"/>
        <v>2.4905360134746792</v>
      </c>
      <c r="D569">
        <f>Tableau1[[#This Row],[d1]]-$R$4*SQRT($O$4)</f>
        <v>1.5905360134746793</v>
      </c>
      <c r="E569">
        <f>NORMSDIST(Tableau1[[#This Row],[d1]])</f>
        <v>0.99362247157857231</v>
      </c>
      <c r="F569">
        <f>NORMSDIST(Tableau1[[#This Row],[d2]])</f>
        <v>0.9441429827153579</v>
      </c>
      <c r="G569">
        <f>Tableau1[[#This Row],[P]]*Tableau1[[#This Row],[N(d1)]]-$P$4*EXP(-$N$4*$O$4)*Tableau1[[#This Row],[N(d2)]]</f>
        <v>478.06476570605241</v>
      </c>
      <c r="L569">
        <f>MAX(Tableau1[[#This Row],[P]]-$P$4)-Tableau1[[#This Row],[C]]</f>
        <v>-6.0647657060524125</v>
      </c>
      <c r="M569">
        <f xml:space="preserve"> Tableau1[[#This Row],[C]] - 0.5 * (-50) * (Tableau1[[#This Row],[P]] - $P$4)</f>
        <v>12278.064765706053</v>
      </c>
    </row>
    <row r="570" spans="2:13" x14ac:dyDescent="0.3">
      <c r="B570">
        <v>568</v>
      </c>
      <c r="C570">
        <f t="shared" si="8"/>
        <v>2.4924939190229005</v>
      </c>
      <c r="D570">
        <f>Tableau1[[#This Row],[d1]]-$R$4*SQRT($O$4)</f>
        <v>1.5924939190229006</v>
      </c>
      <c r="E570">
        <f>NORMSDIST(Tableau1[[#This Row],[d1]])</f>
        <v>0.99365752486833059</v>
      </c>
      <c r="F570">
        <f>NORMSDIST(Tableau1[[#This Row],[d2]])</f>
        <v>0.94436311581257326</v>
      </c>
      <c r="G570">
        <f>Tableau1[[#This Row],[P]]*Tableau1[[#This Row],[N(d1)]]-$P$4*EXP(-$N$4*$O$4)*Tableau1[[#This Row],[N(d2)]]</f>
        <v>479.05840572367276</v>
      </c>
      <c r="L570">
        <f>MAX(Tableau1[[#This Row],[P]]-$P$4)-Tableau1[[#This Row],[C]]</f>
        <v>-6.0584057236727631</v>
      </c>
      <c r="M570">
        <f xml:space="preserve"> Tableau1[[#This Row],[C]] - 0.5 * (-50) * (Tableau1[[#This Row],[P]] - $P$4)</f>
        <v>12304.058405723672</v>
      </c>
    </row>
    <row r="571" spans="2:13" x14ac:dyDescent="0.3">
      <c r="B571">
        <v>569</v>
      </c>
      <c r="C571">
        <f t="shared" si="8"/>
        <v>2.494448380584211</v>
      </c>
      <c r="D571">
        <f>Tableau1[[#This Row],[d1]]-$R$4*SQRT($O$4)</f>
        <v>1.5944483805842111</v>
      </c>
      <c r="E571">
        <f>NORMSDIST(Tableau1[[#This Row],[d1]])</f>
        <v>0.99369234630272463</v>
      </c>
      <c r="F571">
        <f>NORMSDIST(Tableau1[[#This Row],[d2]])</f>
        <v>0.94458217820308377</v>
      </c>
      <c r="G571">
        <f>Tableau1[[#This Row],[P]]*Tableau1[[#This Row],[N(d1)]]-$P$4*EXP(-$N$4*$O$4)*Tableau1[[#This Row],[N(d2)]]</f>
        <v>480.05208067850401</v>
      </c>
      <c r="L571">
        <f>MAX(Tableau1[[#This Row],[P]]-$P$4)-Tableau1[[#This Row],[C]]</f>
        <v>-6.0520806785040122</v>
      </c>
      <c r="M571">
        <f xml:space="preserve"> Tableau1[[#This Row],[C]] - 0.5 * (-50) * (Tableau1[[#This Row],[P]] - $P$4)</f>
        <v>12330.052080678504</v>
      </c>
    </row>
    <row r="572" spans="2:13" x14ac:dyDescent="0.3">
      <c r="B572">
        <v>570</v>
      </c>
      <c r="C572">
        <f t="shared" si="8"/>
        <v>2.4963994102533946</v>
      </c>
      <c r="D572">
        <f>Tableau1[[#This Row],[d1]]-$R$4*SQRT($O$4)</f>
        <v>1.5963994102533947</v>
      </c>
      <c r="E572">
        <f>NORMSDIST(Tableau1[[#This Row],[d1]])</f>
        <v>0.99372693768675557</v>
      </c>
      <c r="F572">
        <f>NORMSDIST(Tableau1[[#This Row],[d2]])</f>
        <v>0.94480017613073086</v>
      </c>
      <c r="G572">
        <f>Tableau1[[#This Row],[P]]*Tableau1[[#This Row],[N(d1)]]-$P$4*EXP(-$N$4*$O$4)*Tableau1[[#This Row],[N(d2)]]</f>
        <v>481.04579033959487</v>
      </c>
      <c r="L572">
        <f>MAX(Tableau1[[#This Row],[P]]-$P$4)-Tableau1[[#This Row],[C]]</f>
        <v>-6.0457903395948733</v>
      </c>
      <c r="M572">
        <f xml:space="preserve"> Tableau1[[#This Row],[C]] - 0.5 * (-50) * (Tableau1[[#This Row],[P]] - $P$4)</f>
        <v>12356.045790339595</v>
      </c>
    </row>
    <row r="573" spans="2:13" x14ac:dyDescent="0.3">
      <c r="B573">
        <v>571</v>
      </c>
      <c r="C573">
        <f t="shared" si="8"/>
        <v>2.4983470200616327</v>
      </c>
      <c r="D573">
        <f>Tableau1[[#This Row],[d1]]-$R$4*SQRT($O$4)</f>
        <v>1.5983470200616328</v>
      </c>
      <c r="E573">
        <f>NORMSDIST(Tableau1[[#This Row],[d1]])</f>
        <v>0.99376130080918479</v>
      </c>
      <c r="F573">
        <f>NORMSDIST(Tableau1[[#This Row],[d2]])</f>
        <v>0.94501711579675662</v>
      </c>
      <c r="G573">
        <f>Tableau1[[#This Row],[P]]*Tableau1[[#This Row],[N(d1)]]-$P$4*EXP(-$N$4*$O$4)*Tableau1[[#This Row],[N(d2)]]</f>
        <v>482.03953447779054</v>
      </c>
      <c r="L573">
        <f>MAX(Tableau1[[#This Row],[P]]-$P$4)-Tableau1[[#This Row],[C]]</f>
        <v>-6.0395344777905393</v>
      </c>
      <c r="M573">
        <f xml:space="preserve"> Tableau1[[#This Row],[C]] - 0.5 * (-50) * (Tableau1[[#This Row],[P]] - $P$4)</f>
        <v>12382.03953447779</v>
      </c>
    </row>
    <row r="574" spans="2:13" x14ac:dyDescent="0.3">
      <c r="B574">
        <v>572</v>
      </c>
      <c r="C574">
        <f t="shared" si="8"/>
        <v>2.5002912219769522</v>
      </c>
      <c r="D574">
        <f>Tableau1[[#This Row],[d1]]-$R$4*SQRT($O$4)</f>
        <v>1.6002912219769523</v>
      </c>
      <c r="E574">
        <f>NORMSDIST(Tableau1[[#This Row],[d1]])</f>
        <v>0.99379543744270082</v>
      </c>
      <c r="F574">
        <f>NORMSDIST(Tableau1[[#This Row],[d2]])</f>
        <v>0.94523300336013683</v>
      </c>
      <c r="G574">
        <f>Tableau1[[#This Row],[P]]*Tableau1[[#This Row],[N(d1)]]-$P$4*EXP(-$N$4*$O$4)*Tableau1[[#This Row],[N(d2)]]</f>
        <v>483.03331286571716</v>
      </c>
      <c r="L574">
        <f>MAX(Tableau1[[#This Row],[P]]-$P$4)-Tableau1[[#This Row],[C]]</f>
        <v>-6.0333128657171642</v>
      </c>
      <c r="M574">
        <f xml:space="preserve"> Tableau1[[#This Row],[C]] - 0.5 * (-50) * (Tableau1[[#This Row],[P]] - $P$4)</f>
        <v>12408.033312865717</v>
      </c>
    </row>
    <row r="575" spans="2:13" x14ac:dyDescent="0.3">
      <c r="B575">
        <v>573</v>
      </c>
      <c r="C575">
        <f t="shared" si="8"/>
        <v>2.502232027904665</v>
      </c>
      <c r="D575">
        <f>Tableau1[[#This Row],[d1]]-$R$4*SQRT($O$4)</f>
        <v>1.6022320279046651</v>
      </c>
      <c r="E575">
        <f>NORMSDIST(Tableau1[[#This Row],[d1]])</f>
        <v>0.99382934934408329</v>
      </c>
      <c r="F575">
        <f>NORMSDIST(Tableau1[[#This Row],[d2]])</f>
        <v>0.94544784493791101</v>
      </c>
      <c r="G575">
        <f>Tableau1[[#This Row],[P]]*Tableau1[[#This Row],[N(d1)]]-$P$4*EXP(-$N$4*$O$4)*Tableau1[[#This Row],[N(d2)]]</f>
        <v>484.02712527776538</v>
      </c>
      <c r="L575">
        <f>MAX(Tableau1[[#This Row],[P]]-$P$4)-Tableau1[[#This Row],[C]]</f>
        <v>-6.0271252777653785</v>
      </c>
      <c r="M575">
        <f xml:space="preserve"> Tableau1[[#This Row],[C]] - 0.5 * (-50) * (Tableau1[[#This Row],[P]] - $P$4)</f>
        <v>12434.027125277766</v>
      </c>
    </row>
    <row r="576" spans="2:13" x14ac:dyDescent="0.3">
      <c r="B576">
        <v>574</v>
      </c>
      <c r="C576">
        <f t="shared" si="8"/>
        <v>2.5041694496878062</v>
      </c>
      <c r="D576">
        <f>Tableau1[[#This Row],[d1]]-$R$4*SQRT($O$4)</f>
        <v>1.6041694496878063</v>
      </c>
      <c r="E576">
        <f>NORMSDIST(Tableau1[[#This Row],[d1]])</f>
        <v>0.99386303825436573</v>
      </c>
      <c r="F576">
        <f>NORMSDIST(Tableau1[[#This Row],[d2]])</f>
        <v>0.94566164660550933</v>
      </c>
      <c r="G576">
        <f>Tableau1[[#This Row],[P]]*Tableau1[[#This Row],[N(d1)]]-$P$4*EXP(-$N$4*$O$4)*Tableau1[[#This Row],[N(d2)]]</f>
        <v>485.02097149007511</v>
      </c>
      <c r="L576">
        <f>MAX(Tableau1[[#This Row],[P]]-$P$4)-Tableau1[[#This Row],[C]]</f>
        <v>-6.0209714900751123</v>
      </c>
      <c r="M576">
        <f xml:space="preserve"> Tableau1[[#This Row],[C]] - 0.5 * (-50) * (Tableau1[[#This Row],[P]] - $P$4)</f>
        <v>12460.020971490076</v>
      </c>
    </row>
    <row r="577" spans="2:13" x14ac:dyDescent="0.3">
      <c r="B577">
        <v>575</v>
      </c>
      <c r="C577">
        <f t="shared" si="8"/>
        <v>2.5061034991075659</v>
      </c>
      <c r="D577">
        <f>Tableau1[[#This Row],[d1]]-$R$4*SQRT($O$4)</f>
        <v>1.606103499107566</v>
      </c>
      <c r="E577">
        <f>NORMSDIST(Tableau1[[#This Row],[d1]])</f>
        <v>0.99389650589899614</v>
      </c>
      <c r="F577">
        <f>NORMSDIST(Tableau1[[#This Row],[d2]])</f>
        <v>0.94587441439707676</v>
      </c>
      <c r="G577">
        <f>Tableau1[[#This Row],[P]]*Tableau1[[#This Row],[N(d1)]]-$P$4*EXP(-$N$4*$O$4)*Tableau1[[#This Row],[N(d2)]]</f>
        <v>486.01485128051911</v>
      </c>
      <c r="L577">
        <f>MAX(Tableau1[[#This Row],[P]]-$P$4)-Tableau1[[#This Row],[C]]</f>
        <v>-6.0148512805191103</v>
      </c>
      <c r="M577">
        <f xml:space="preserve"> Tableau1[[#This Row],[C]] - 0.5 * (-50) * (Tableau1[[#This Row],[P]] - $P$4)</f>
        <v>12486.014851280519</v>
      </c>
    </row>
    <row r="578" spans="2:13" x14ac:dyDescent="0.3">
      <c r="B578">
        <v>576</v>
      </c>
      <c r="C578">
        <f t="shared" si="8"/>
        <v>2.5080341878837227</v>
      </c>
      <c r="D578">
        <f>Tableau1[[#This Row],[d1]]-$R$4*SQRT($O$4)</f>
        <v>1.6080341878837228</v>
      </c>
      <c r="E578">
        <f>NORMSDIST(Tableau1[[#This Row],[d1]])</f>
        <v>0.99392975398799577</v>
      </c>
      <c r="F578">
        <f>NORMSDIST(Tableau1[[#This Row],[d2]])</f>
        <v>0.94608615430579468</v>
      </c>
      <c r="G578">
        <f>Tableau1[[#This Row],[P]]*Tableau1[[#This Row],[N(d1)]]-$P$4*EXP(-$N$4*$O$4)*Tableau1[[#This Row],[N(d2)]]</f>
        <v>487.0087644286881</v>
      </c>
      <c r="L578">
        <f>MAX(Tableau1[[#This Row],[P]]-$P$4)-Tableau1[[#This Row],[C]]</f>
        <v>-6.0087644286880959</v>
      </c>
      <c r="M578">
        <f xml:space="preserve"> Tableau1[[#This Row],[C]] - 0.5 * (-50) * (Tableau1[[#This Row],[P]] - $P$4)</f>
        <v>12512.008764428689</v>
      </c>
    </row>
    <row r="579" spans="2:13" x14ac:dyDescent="0.3">
      <c r="B579">
        <v>577</v>
      </c>
      <c r="C579">
        <f t="shared" ref="C579:C642" si="9" xml:space="preserve"> (LN($B579/$P$4) + ($N$4 + ($R$4^2)/2) * $O$4) / ($R$4 * SQRT($O$4))</f>
        <v>2.5099615276750651</v>
      </c>
      <c r="D579">
        <f>Tableau1[[#This Row],[d1]]-$R$4*SQRT($O$4)</f>
        <v>1.6099615276750652</v>
      </c>
      <c r="E579">
        <f>NORMSDIST(Tableau1[[#This Row],[d1]])</f>
        <v>0.99396278421611572</v>
      </c>
      <c r="F579">
        <f>NORMSDIST(Tableau1[[#This Row],[d2]])</f>
        <v>0.94629687228419934</v>
      </c>
      <c r="G579">
        <f>Tableau1[[#This Row],[P]]*Tableau1[[#This Row],[N(d1)]]-$P$4*EXP(-$N$4*$O$4)*Tableau1[[#This Row],[N(d2)]]</f>
        <v>488.00271071587491</v>
      </c>
      <c r="L579">
        <f>MAX(Tableau1[[#This Row],[P]]-$P$4)-Tableau1[[#This Row],[C]]</f>
        <v>-6.0027107158749118</v>
      </c>
      <c r="M579">
        <f xml:space="preserve"> Tableau1[[#This Row],[C]] - 0.5 * (-50) * (Tableau1[[#This Row],[P]] - $P$4)</f>
        <v>12538.002710715875</v>
      </c>
    </row>
    <row r="580" spans="2:13" x14ac:dyDescent="0.3">
      <c r="B580">
        <v>578</v>
      </c>
      <c r="C580">
        <f t="shared" si="9"/>
        <v>2.5118855300798182</v>
      </c>
      <c r="D580">
        <f>Tableau1[[#This Row],[d1]]-$R$4*SQRT($O$4)</f>
        <v>1.6118855300798183</v>
      </c>
      <c r="E580">
        <f>NORMSDIST(Tableau1[[#This Row],[d1]])</f>
        <v>0.993995598262993</v>
      </c>
      <c r="F580">
        <f>NORMSDIST(Tableau1[[#This Row],[d2]])</f>
        <v>0.94650657424449758</v>
      </c>
      <c r="G580">
        <f>Tableau1[[#This Row],[P]]*Tableau1[[#This Row],[N(d1)]]-$P$4*EXP(-$N$4*$O$4)*Tableau1[[#This Row],[N(d2)]]</f>
        <v>488.99668992506008</v>
      </c>
      <c r="L580">
        <f>MAX(Tableau1[[#This Row],[P]]-$P$4)-Tableau1[[#This Row],[C]]</f>
        <v>-5.9966899250600818</v>
      </c>
      <c r="M580">
        <f xml:space="preserve"> Tableau1[[#This Row],[C]] - 0.5 * (-50) * (Tableau1[[#This Row],[P]] - $P$4)</f>
        <v>12563.996689925059</v>
      </c>
    </row>
    <row r="581" spans="2:13" x14ac:dyDescent="0.3">
      <c r="B581">
        <v>579</v>
      </c>
      <c r="C581">
        <f t="shared" si="9"/>
        <v>2.5138062066360605</v>
      </c>
      <c r="D581">
        <f>Tableau1[[#This Row],[d1]]-$R$4*SQRT($O$4)</f>
        <v>1.6138062066360606</v>
      </c>
      <c r="E581">
        <f>NORMSDIST(Tableau1[[#This Row],[d1]])</f>
        <v>0.99402819779330287</v>
      </c>
      <c r="F581">
        <f>NORMSDIST(Tableau1[[#This Row],[d2]])</f>
        <v>0.94671526605888001</v>
      </c>
      <c r="G581">
        <f>Tableau1[[#This Row],[P]]*Tableau1[[#This Row],[N(d1)]]-$P$4*EXP(-$N$4*$O$4)*Tableau1[[#This Row],[N(d2)]]</f>
        <v>489.99070184089561</v>
      </c>
      <c r="L581">
        <f>MAX(Tableau1[[#This Row],[P]]-$P$4)-Tableau1[[#This Row],[C]]</f>
        <v>-5.9907018408956105</v>
      </c>
      <c r="M581">
        <f xml:space="preserve"> Tableau1[[#This Row],[C]] - 0.5 * (-50) * (Tableau1[[#This Row],[P]] - $P$4)</f>
        <v>12589.990701840896</v>
      </c>
    </row>
    <row r="582" spans="2:13" x14ac:dyDescent="0.3">
      <c r="B582">
        <v>580</v>
      </c>
      <c r="C582">
        <f t="shared" si="9"/>
        <v>2.5157235688221382</v>
      </c>
      <c r="D582">
        <f>Tableau1[[#This Row],[d1]]-$R$4*SQRT($O$4)</f>
        <v>1.6157235688221383</v>
      </c>
      <c r="E582">
        <f>NORMSDIST(Tableau1[[#This Row],[d1]])</f>
        <v>0.99406058445691126</v>
      </c>
      <c r="F582">
        <f>NORMSDIST(Tableau1[[#This Row],[d2]])</f>
        <v>0.94692295355983103</v>
      </c>
      <c r="G582">
        <f>Tableau1[[#This Row],[P]]*Tableau1[[#This Row],[N(d1)]]-$P$4*EXP(-$N$4*$O$4)*Tableau1[[#This Row],[N(d2)]]</f>
        <v>490.98474624969123</v>
      </c>
      <c r="L582">
        <f>MAX(Tableau1[[#This Row],[P]]-$P$4)-Tableau1[[#This Row],[C]]</f>
        <v>-5.9847462496912271</v>
      </c>
      <c r="M582">
        <f xml:space="preserve"> Tableau1[[#This Row],[C]] - 0.5 * (-50) * (Tableau1[[#This Row],[P]] - $P$4)</f>
        <v>12615.984746249691</v>
      </c>
    </row>
    <row r="583" spans="2:13" x14ac:dyDescent="0.3">
      <c r="B583">
        <v>581</v>
      </c>
      <c r="C583">
        <f t="shared" si="9"/>
        <v>2.517637628057078</v>
      </c>
      <c r="D583">
        <f>Tableau1[[#This Row],[d1]]-$R$4*SQRT($O$4)</f>
        <v>1.6176376280570781</v>
      </c>
      <c r="E583">
        <f>NORMSDIST(Tableau1[[#This Row],[d1]])</f>
        <v>0.99409275988902446</v>
      </c>
      <c r="F583">
        <f>NORMSDIST(Tableau1[[#This Row],[d2]])</f>
        <v>0.94712964254043652</v>
      </c>
      <c r="G583">
        <f>Tableau1[[#This Row],[P]]*Tableau1[[#This Row],[N(d1)]]-$P$4*EXP(-$N$4*$O$4)*Tableau1[[#This Row],[N(d2)]]</f>
        <v>491.97882293939909</v>
      </c>
      <c r="L583">
        <f>MAX(Tableau1[[#This Row],[P]]-$P$4)-Tableau1[[#This Row],[C]]</f>
        <v>-5.9788229393990946</v>
      </c>
      <c r="M583">
        <f xml:space="preserve"> Tableau1[[#This Row],[C]] - 0.5 * (-50) * (Tableau1[[#This Row],[P]] - $P$4)</f>
        <v>12641.9788229394</v>
      </c>
    </row>
    <row r="584" spans="2:13" x14ac:dyDescent="0.3">
      <c r="B584">
        <v>582</v>
      </c>
      <c r="C584">
        <f t="shared" si="9"/>
        <v>2.5195483957009968</v>
      </c>
      <c r="D584">
        <f>Tableau1[[#This Row],[d1]]-$R$4*SQRT($O$4)</f>
        <v>1.6195483957009968</v>
      </c>
      <c r="E584">
        <f>NORMSDIST(Tableau1[[#This Row],[d1]])</f>
        <v>0.99412472571033728</v>
      </c>
      <c r="F584">
        <f>NORMSDIST(Tableau1[[#This Row],[d2]])</f>
        <v>0.94733533875468912</v>
      </c>
      <c r="G584">
        <f>Tableau1[[#This Row],[P]]*Tableau1[[#This Row],[N(d1)]]-$P$4*EXP(-$N$4*$O$4)*Tableau1[[#This Row],[N(d2)]]</f>
        <v>492.97293169959914</v>
      </c>
      <c r="L584">
        <f>MAX(Tableau1[[#This Row],[P]]-$P$4)-Tableau1[[#This Row],[C]]</f>
        <v>-5.9729316995991439</v>
      </c>
      <c r="M584">
        <f xml:space="preserve"> Tableau1[[#This Row],[C]] - 0.5 * (-50) * (Tableau1[[#This Row],[P]] - $P$4)</f>
        <v>12667.9729316996</v>
      </c>
    </row>
    <row r="585" spans="2:13" x14ac:dyDescent="0.3">
      <c r="B585">
        <v>583</v>
      </c>
      <c r="C585">
        <f t="shared" si="9"/>
        <v>2.5214558830555016</v>
      </c>
      <c r="D585">
        <f>Tableau1[[#This Row],[d1]]-$R$4*SQRT($O$4)</f>
        <v>1.6214558830555017</v>
      </c>
      <c r="E585">
        <f>NORMSDIST(Tableau1[[#This Row],[d1]])</f>
        <v>0.99415648352717978</v>
      </c>
      <c r="F585">
        <f>NORMSDIST(Tableau1[[#This Row],[d2]])</f>
        <v>0.94754004791778979</v>
      </c>
      <c r="G585">
        <f>Tableau1[[#This Row],[P]]*Tableau1[[#This Row],[N(d1)]]-$P$4*EXP(-$N$4*$O$4)*Tableau1[[#This Row],[N(d2)]]</f>
        <v>493.96707232148515</v>
      </c>
      <c r="L585">
        <f>MAX(Tableau1[[#This Row],[P]]-$P$4)-Tableau1[[#This Row],[C]]</f>
        <v>-5.9670723214851478</v>
      </c>
      <c r="M585">
        <f xml:space="preserve"> Tableau1[[#This Row],[C]] - 0.5 * (-50) * (Tableau1[[#This Row],[P]] - $P$4)</f>
        <v>12693.967072321486</v>
      </c>
    </row>
    <row r="586" spans="2:13" x14ac:dyDescent="0.3">
      <c r="B586">
        <v>584</v>
      </c>
      <c r="C586">
        <f t="shared" si="9"/>
        <v>2.5233601013640956</v>
      </c>
      <c r="D586">
        <f>Tableau1[[#This Row],[d1]]-$R$4*SQRT($O$4)</f>
        <v>1.6233601013640957</v>
      </c>
      <c r="E586">
        <f>NORMSDIST(Tableau1[[#This Row],[d1]])</f>
        <v>0.99418803493166186</v>
      </c>
      <c r="F586">
        <f>NORMSDIST(Tableau1[[#This Row],[d2]])</f>
        <v>0.94774377570644797</v>
      </c>
      <c r="G586">
        <f>Tableau1[[#This Row],[P]]*Tableau1[[#This Row],[N(d1)]]-$P$4*EXP(-$N$4*$O$4)*Tableau1[[#This Row],[N(d2)]]</f>
        <v>494.96124459784954</v>
      </c>
      <c r="L586">
        <f>MAX(Tableau1[[#This Row],[P]]-$P$4)-Tableau1[[#This Row],[C]]</f>
        <v>-5.961244597849543</v>
      </c>
      <c r="M586">
        <f xml:space="preserve"> Tableau1[[#This Row],[C]] - 0.5 * (-50) * (Tableau1[[#This Row],[P]] - $P$4)</f>
        <v>12719.961244597849</v>
      </c>
    </row>
    <row r="587" spans="2:13" x14ac:dyDescent="0.3">
      <c r="B587">
        <v>585</v>
      </c>
      <c r="C587">
        <f t="shared" si="9"/>
        <v>2.5252610618125728</v>
      </c>
      <c r="D587">
        <f>Tableau1[[#This Row],[d1]]-$R$4*SQRT($O$4)</f>
        <v>1.6252610618125729</v>
      </c>
      <c r="E587">
        <f>NORMSDIST(Tableau1[[#This Row],[d1]])</f>
        <v>0.99421938150181666</v>
      </c>
      <c r="F587">
        <f>NORMSDIST(Tableau1[[#This Row],[d2]])</f>
        <v>0.94794652775917865</v>
      </c>
      <c r="G587">
        <f>Tableau1[[#This Row],[P]]*Tableau1[[#This Row],[N(d1)]]-$P$4*EXP(-$N$4*$O$4)*Tableau1[[#This Row],[N(d2)]]</f>
        <v>495.95544832307053</v>
      </c>
      <c r="L587">
        <f>MAX(Tableau1[[#This Row],[P]]-$P$4)-Tableau1[[#This Row],[C]]</f>
        <v>-5.9554483230705273</v>
      </c>
      <c r="M587">
        <f xml:space="preserve"> Tableau1[[#This Row],[C]] - 0.5 * (-50) * (Tableau1[[#This Row],[P]] - $P$4)</f>
        <v>12745.955448323071</v>
      </c>
    </row>
    <row r="588" spans="2:13" x14ac:dyDescent="0.3">
      <c r="B588">
        <v>586</v>
      </c>
      <c r="C588">
        <f t="shared" si="9"/>
        <v>2.5271587755294127</v>
      </c>
      <c r="D588">
        <f>Tableau1[[#This Row],[d1]]-$R$4*SQRT($O$4)</f>
        <v>1.6271587755294128</v>
      </c>
      <c r="E588">
        <f>NORMSDIST(Tableau1[[#This Row],[d1]])</f>
        <v>0.99425052480174225</v>
      </c>
      <c r="F588">
        <f>NORMSDIST(Tableau1[[#This Row],[d2]])</f>
        <v>0.94814830967659613</v>
      </c>
      <c r="G588">
        <f>Tableau1[[#This Row],[P]]*Tableau1[[#This Row],[N(d1)]]-$P$4*EXP(-$N$4*$O$4)*Tableau1[[#This Row],[N(d2)]]</f>
        <v>496.94968329309665</v>
      </c>
      <c r="L588">
        <f>MAX(Tableau1[[#This Row],[P]]-$P$4)-Tableau1[[#This Row],[C]]</f>
        <v>-5.9496832930966548</v>
      </c>
      <c r="M588">
        <f xml:space="preserve"> Tableau1[[#This Row],[C]] - 0.5 * (-50) * (Tableau1[[#This Row],[P]] - $P$4)</f>
        <v>12771.949683293096</v>
      </c>
    </row>
    <row r="589" spans="2:13" x14ac:dyDescent="0.3">
      <c r="B589">
        <v>587</v>
      </c>
      <c r="C589">
        <f t="shared" si="9"/>
        <v>2.5290532535861727</v>
      </c>
      <c r="D589">
        <f>Tableau1[[#This Row],[d1]]-$R$4*SQRT($O$4)</f>
        <v>1.6290532535861728</v>
      </c>
      <c r="E589">
        <f>NORMSDIST(Tableau1[[#This Row],[d1]])</f>
        <v>0.99428146638174164</v>
      </c>
      <c r="F589">
        <f>NORMSDIST(Tableau1[[#This Row],[d2]])</f>
        <v>0.94834912702170704</v>
      </c>
      <c r="G589">
        <f>Tableau1[[#This Row],[P]]*Tableau1[[#This Row],[N(d1)]]-$P$4*EXP(-$N$4*$O$4)*Tableau1[[#This Row],[N(d2)]]</f>
        <v>497.9439493054341</v>
      </c>
      <c r="L589">
        <f>MAX(Tableau1[[#This Row],[P]]-$P$4)-Tableau1[[#This Row],[C]]</f>
        <v>-5.9439493054341028</v>
      </c>
      <c r="M589">
        <f xml:space="preserve"> Tableau1[[#This Row],[C]] - 0.5 * (-50) * (Tableau1[[#This Row],[P]] - $P$4)</f>
        <v>12797.943949305434</v>
      </c>
    </row>
    <row r="590" spans="2:13" x14ac:dyDescent="0.3">
      <c r="B590">
        <v>588</v>
      </c>
      <c r="C590">
        <f t="shared" si="9"/>
        <v>2.5309445069978733</v>
      </c>
      <c r="D590">
        <f>Tableau1[[#This Row],[d1]]-$R$4*SQRT($O$4)</f>
        <v>1.6309445069978734</v>
      </c>
      <c r="E590">
        <f>NORMSDIST(Tableau1[[#This Row],[d1]])</f>
        <v>0.99431220777846085</v>
      </c>
      <c r="F590">
        <f>NORMSDIST(Tableau1[[#This Row],[d2]])</f>
        <v>0.94854898532019827</v>
      </c>
      <c r="G590">
        <f>Tableau1[[#This Row],[P]]*Tableau1[[#This Row],[N(d1)]]-$P$4*EXP(-$N$4*$O$4)*Tableau1[[#This Row],[N(d2)]]</f>
        <v>498.93824615913246</v>
      </c>
      <c r="L590">
        <f>MAX(Tableau1[[#This Row],[P]]-$P$4)-Tableau1[[#This Row],[C]]</f>
        <v>-5.9382461591324613</v>
      </c>
      <c r="M590">
        <f xml:space="preserve"> Tableau1[[#This Row],[C]] - 0.5 * (-50) * (Tableau1[[#This Row],[P]] - $P$4)</f>
        <v>12823.938246159132</v>
      </c>
    </row>
    <row r="591" spans="2:13" x14ac:dyDescent="0.3">
      <c r="B591">
        <v>589</v>
      </c>
      <c r="C591">
        <f t="shared" si="9"/>
        <v>2.5328325467233843</v>
      </c>
      <c r="D591">
        <f>Tableau1[[#This Row],[d1]]-$R$4*SQRT($O$4)</f>
        <v>1.6328325467233844</v>
      </c>
      <c r="E591">
        <f>NORMSDIST(Tableau1[[#This Row],[d1]])</f>
        <v>0.99434275051502641</v>
      </c>
      <c r="F591">
        <f>NORMSDIST(Tableau1[[#This Row],[d2]])</f>
        <v>0.94874789006072535</v>
      </c>
      <c r="G591">
        <f>Tableau1[[#This Row],[P]]*Tableau1[[#This Row],[N(d1)]]-$P$4*EXP(-$N$4*$O$4)*Tableau1[[#This Row],[N(d2)]]</f>
        <v>499.9325736547712</v>
      </c>
      <c r="L591">
        <f>MAX(Tableau1[[#This Row],[P]]-$P$4)-Tableau1[[#This Row],[C]]</f>
        <v>-5.932573654771204</v>
      </c>
      <c r="M591">
        <f xml:space="preserve"> Tableau1[[#This Row],[C]] - 0.5 * (-50) * (Tableau1[[#This Row],[P]] - $P$4)</f>
        <v>12849.932573654771</v>
      </c>
    </row>
    <row r="592" spans="2:13" x14ac:dyDescent="0.3">
      <c r="B592">
        <v>590</v>
      </c>
      <c r="C592">
        <f t="shared" si="9"/>
        <v>2.5347173836658046</v>
      </c>
      <c r="D592">
        <f>Tableau1[[#This Row],[d1]]-$R$4*SQRT($O$4)</f>
        <v>1.6347173836658047</v>
      </c>
      <c r="E592">
        <f>NORMSDIST(Tableau1[[#This Row],[d1]])</f>
        <v>0.99437309610117997</v>
      </c>
      <c r="F592">
        <f>NORMSDIST(Tableau1[[#This Row],[d2]])</f>
        <v>0.94894584669519566</v>
      </c>
      <c r="G592">
        <f>Tableau1[[#This Row],[P]]*Tableau1[[#This Row],[N(d1)]]-$P$4*EXP(-$N$4*$O$4)*Tableau1[[#This Row],[N(d2)]]</f>
        <v>500.92693159444588</v>
      </c>
      <c r="L592">
        <f>MAX(Tableau1[[#This Row],[P]]-$P$4)-Tableau1[[#This Row],[C]]</f>
        <v>-5.9269315944458754</v>
      </c>
      <c r="M592">
        <f xml:space="preserve"> Tableau1[[#This Row],[C]] - 0.5 * (-50) * (Tableau1[[#This Row],[P]] - $P$4)</f>
        <v>12875.926931594446</v>
      </c>
    </row>
    <row r="593" spans="2:13" x14ac:dyDescent="0.3">
      <c r="B593">
        <v>591</v>
      </c>
      <c r="C593">
        <f t="shared" si="9"/>
        <v>2.5365990286728413</v>
      </c>
      <c r="D593">
        <f>Tableau1[[#This Row],[d1]]-$R$4*SQRT($O$4)</f>
        <v>1.6365990286728413</v>
      </c>
      <c r="E593">
        <f>NORMSDIST(Tableau1[[#This Row],[d1]])</f>
        <v>0.9944032460334129</v>
      </c>
      <c r="F593">
        <f>NORMSDIST(Tableau1[[#This Row],[d2]])</f>
        <v>0.94914286063905096</v>
      </c>
      <c r="G593">
        <f>Tableau1[[#This Row],[P]]*Tableau1[[#This Row],[N(d1)]]-$P$4*EXP(-$N$4*$O$4)*Tableau1[[#This Row],[N(d2)]]</f>
        <v>501.92131978175576</v>
      </c>
      <c r="L593">
        <f>MAX(Tableau1[[#This Row],[P]]-$P$4)-Tableau1[[#This Row],[C]]</f>
        <v>-5.9213197817557557</v>
      </c>
      <c r="M593">
        <f xml:space="preserve"> Tableau1[[#This Row],[C]] - 0.5 * (-50) * (Tableau1[[#This Row],[P]] - $P$4)</f>
        <v>12901.921319781755</v>
      </c>
    </row>
    <row r="594" spans="2:13" x14ac:dyDescent="0.3">
      <c r="B594">
        <v>592</v>
      </c>
      <c r="C594">
        <f t="shared" si="9"/>
        <v>2.5384774925371829</v>
      </c>
      <c r="D594">
        <f>Tableau1[[#This Row],[d1]]-$R$4*SQRT($O$4)</f>
        <v>1.638477492537183</v>
      </c>
      <c r="E594">
        <f>NORMSDIST(Tableau1[[#This Row],[d1]])</f>
        <v>0.99443320179509787</v>
      </c>
      <c r="F594">
        <f>NORMSDIST(Tableau1[[#This Row],[d2]])</f>
        <v>0.94933893727154661</v>
      </c>
      <c r="G594">
        <f>Tableau1[[#This Row],[P]]*Tableau1[[#This Row],[N(d1)]]-$P$4*EXP(-$N$4*$O$4)*Tableau1[[#This Row],[N(d2)]]</f>
        <v>502.91573802178937</v>
      </c>
      <c r="L594">
        <f>MAX(Tableau1[[#This Row],[P]]-$P$4)-Tableau1[[#This Row],[C]]</f>
        <v>-5.915738021789366</v>
      </c>
      <c r="M594">
        <f xml:space="preserve"> Tableau1[[#This Row],[C]] - 0.5 * (-50) * (Tableau1[[#This Row],[P]] - $P$4)</f>
        <v>12927.915738021789</v>
      </c>
    </row>
    <row r="595" spans="2:13" x14ac:dyDescent="0.3">
      <c r="B595">
        <v>593</v>
      </c>
      <c r="C595">
        <f t="shared" si="9"/>
        <v>2.540352785996872</v>
      </c>
      <c r="D595">
        <f>Tableau1[[#This Row],[d1]]-$R$4*SQRT($O$4)</f>
        <v>1.6403527859968721</v>
      </c>
      <c r="E595">
        <f>NORMSDIST(Tableau1[[#This Row],[d1]])</f>
        <v>0.99446296485662011</v>
      </c>
      <c r="F595">
        <f>NORMSDIST(Tableau1[[#This Row],[d2]])</f>
        <v>0.94953408193602884</v>
      </c>
      <c r="G595">
        <f>Tableau1[[#This Row],[P]]*Tableau1[[#This Row],[N(d1)]]-$P$4*EXP(-$N$4*$O$4)*Tableau1[[#This Row],[N(d2)]]</f>
        <v>503.91018612111259</v>
      </c>
      <c r="L595">
        <f>MAX(Tableau1[[#This Row],[P]]-$P$4)-Tableau1[[#This Row],[C]]</f>
        <v>-5.9101861211125879</v>
      </c>
      <c r="M595">
        <f xml:space="preserve"> Tableau1[[#This Row],[C]] - 0.5 * (-50) * (Tableau1[[#This Row],[P]] - $P$4)</f>
        <v>12953.910186121113</v>
      </c>
    </row>
    <row r="596" spans="2:13" x14ac:dyDescent="0.3">
      <c r="B596">
        <v>594</v>
      </c>
      <c r="C596">
        <f t="shared" si="9"/>
        <v>2.5422249197356712</v>
      </c>
      <c r="D596">
        <f>Tableau1[[#This Row],[d1]]-$R$4*SQRT($O$4)</f>
        <v>1.6422249197356713</v>
      </c>
      <c r="E596">
        <f>NORMSDIST(Tableau1[[#This Row],[d1]])</f>
        <v>0.99449253667550674</v>
      </c>
      <c r="F596">
        <f>NORMSDIST(Tableau1[[#This Row],[d2]])</f>
        <v>0.94972829994020924</v>
      </c>
      <c r="G596">
        <f>Tableau1[[#This Row],[P]]*Tableau1[[#This Row],[N(d1)]]-$P$4*EXP(-$N$4*$O$4)*Tableau1[[#This Row],[N(d2)]]</f>
        <v>504.90466388775519</v>
      </c>
      <c r="L596">
        <f>MAX(Tableau1[[#This Row],[P]]-$P$4)-Tableau1[[#This Row],[C]]</f>
        <v>-5.9046638877551914</v>
      </c>
      <c r="M596">
        <f xml:space="preserve"> Tableau1[[#This Row],[C]] - 0.5 * (-50) * (Tableau1[[#This Row],[P]] - $P$4)</f>
        <v>12979.904663887755</v>
      </c>
    </row>
    <row r="597" spans="2:13" x14ac:dyDescent="0.3">
      <c r="B597">
        <v>595</v>
      </c>
      <c r="C597">
        <f t="shared" si="9"/>
        <v>2.5440939043834323</v>
      </c>
      <c r="D597">
        <f>Tableau1[[#This Row],[d1]]-$R$4*SQRT($O$4)</f>
        <v>1.6440939043834324</v>
      </c>
      <c r="E597">
        <f>NORMSDIST(Tableau1[[#This Row],[d1]])</f>
        <v>0.99452191869655437</v>
      </c>
      <c r="F597">
        <f>NORMSDIST(Tableau1[[#This Row],[d2]])</f>
        <v>0.9499215965564376</v>
      </c>
      <c r="G597">
        <f>Tableau1[[#This Row],[P]]*Tableau1[[#This Row],[N(d1)]]-$P$4*EXP(-$N$4*$O$4)*Tableau1[[#This Row],[N(d2)]]</f>
        <v>505.89917113119782</v>
      </c>
      <c r="L597">
        <f>MAX(Tableau1[[#This Row],[P]]-$P$4)-Tableau1[[#This Row],[C]]</f>
        <v>-5.8991711311978179</v>
      </c>
      <c r="M597">
        <f xml:space="preserve"> Tableau1[[#This Row],[C]] - 0.5 * (-50) * (Tableau1[[#This Row],[P]] - $P$4)</f>
        <v>13005.899171131197</v>
      </c>
    </row>
    <row r="598" spans="2:13" x14ac:dyDescent="0.3">
      <c r="B598">
        <v>596</v>
      </c>
      <c r="C598">
        <f t="shared" si="9"/>
        <v>2.5459597505164542</v>
      </c>
      <c r="D598">
        <f>Tableau1[[#This Row],[d1]]-$R$4*SQRT($O$4)</f>
        <v>1.6459597505164543</v>
      </c>
      <c r="E598">
        <f>NORMSDIST(Tableau1[[#This Row],[d1]])</f>
        <v>0.99455111235195603</v>
      </c>
      <c r="F598">
        <f>NORMSDIST(Tableau1[[#This Row],[d2]])</f>
        <v>0.95011397702197087</v>
      </c>
      <c r="G598">
        <f>Tableau1[[#This Row],[P]]*Tableau1[[#This Row],[N(d1)]]-$P$4*EXP(-$N$4*$O$4)*Tableau1[[#This Row],[N(d2)]]</f>
        <v>506.89370766235987</v>
      </c>
      <c r="L598">
        <f>MAX(Tableau1[[#This Row],[P]]-$P$4)-Tableau1[[#This Row],[C]]</f>
        <v>-5.8937076623598728</v>
      </c>
      <c r="M598">
        <f xml:space="preserve"> Tableau1[[#This Row],[C]] - 0.5 * (-50) * (Tableau1[[#This Row],[P]] - $P$4)</f>
        <v>13031.893707662361</v>
      </c>
    </row>
    <row r="599" spans="2:13" x14ac:dyDescent="0.3">
      <c r="B599">
        <v>597</v>
      </c>
      <c r="C599">
        <f t="shared" si="9"/>
        <v>2.5478224686578455</v>
      </c>
      <c r="D599">
        <f>Tableau1[[#This Row],[d1]]-$R$4*SQRT($O$4)</f>
        <v>1.6478224686578455</v>
      </c>
      <c r="E599">
        <f>NORMSDIST(Tableau1[[#This Row],[d1]])</f>
        <v>0.99458011906142574</v>
      </c>
      <c r="F599">
        <f>NORMSDIST(Tableau1[[#This Row],[d2]])</f>
        <v>0.95030544653924198</v>
      </c>
      <c r="G599">
        <f>Tableau1[[#This Row],[P]]*Tableau1[[#This Row],[N(d1)]]-$P$4*EXP(-$N$4*$O$4)*Tableau1[[#This Row],[N(d2)]]</f>
        <v>507.88827329358651</v>
      </c>
      <c r="L599">
        <f>MAX(Tableau1[[#This Row],[P]]-$P$4)-Tableau1[[#This Row],[C]]</f>
        <v>-5.8882732935865079</v>
      </c>
      <c r="M599">
        <f xml:space="preserve"> Tableau1[[#This Row],[C]] - 0.5 * (-50) * (Tableau1[[#This Row],[P]] - $P$4)</f>
        <v>13057.888273293587</v>
      </c>
    </row>
    <row r="600" spans="2:13" x14ac:dyDescent="0.3">
      <c r="B600">
        <v>598</v>
      </c>
      <c r="C600">
        <f t="shared" si="9"/>
        <v>2.5496820692778783</v>
      </c>
      <c r="D600">
        <f>Tableau1[[#This Row],[d1]]-$R$4*SQRT($O$4)</f>
        <v>1.6496820692778784</v>
      </c>
      <c r="E600">
        <f>NORMSDIST(Tableau1[[#This Row],[d1]])</f>
        <v>0.99460894023232282</v>
      </c>
      <c r="F600">
        <f>NORMSDIST(Tableau1[[#This Row],[d2]])</f>
        <v>0.95049601027612451</v>
      </c>
      <c r="G600">
        <f>Tableau1[[#This Row],[P]]*Tableau1[[#This Row],[N(d1)]]-$P$4*EXP(-$N$4*$O$4)*Tableau1[[#This Row],[N(d2)]]</f>
        <v>508.88286783863674</v>
      </c>
      <c r="L600">
        <f>MAX(Tableau1[[#This Row],[P]]-$P$4)-Tableau1[[#This Row],[C]]</f>
        <v>-5.8828678386367415</v>
      </c>
      <c r="M600">
        <f xml:space="preserve"> Tableau1[[#This Row],[C]] - 0.5 * (-50) * (Tableau1[[#This Row],[P]] - $P$4)</f>
        <v>13083.882867838636</v>
      </c>
    </row>
    <row r="601" spans="2:13" x14ac:dyDescent="0.3">
      <c r="B601">
        <v>599</v>
      </c>
      <c r="C601">
        <f t="shared" si="9"/>
        <v>2.551538562794343</v>
      </c>
      <c r="D601">
        <f>Tableau1[[#This Row],[d1]]-$R$4*SQRT($O$4)</f>
        <v>1.6515385627943431</v>
      </c>
      <c r="E601">
        <f>NORMSDIST(Tableau1[[#This Row],[d1]])</f>
        <v>0.99463757725977331</v>
      </c>
      <c r="F601">
        <f>NORMSDIST(Tableau1[[#This Row],[d2]])</f>
        <v>0.95068567336619614</v>
      </c>
      <c r="G601">
        <f>Tableau1[[#This Row],[P]]*Tableau1[[#This Row],[N(d1)]]-$P$4*EXP(-$N$4*$O$4)*Tableau1[[#This Row],[N(d2)]]</f>
        <v>509.87749111267016</v>
      </c>
      <c r="L601">
        <f>MAX(Tableau1[[#This Row],[P]]-$P$4)-Tableau1[[#This Row],[C]]</f>
        <v>-5.8774911126701568</v>
      </c>
      <c r="M601">
        <f xml:space="preserve"> Tableau1[[#This Row],[C]] - 0.5 * (-50) * (Tableau1[[#This Row],[P]] - $P$4)</f>
        <v>13109.877491112669</v>
      </c>
    </row>
    <row r="602" spans="2:13" x14ac:dyDescent="0.3">
      <c r="B602">
        <v>600</v>
      </c>
      <c r="C602">
        <f t="shared" si="9"/>
        <v>2.5533919595728949</v>
      </c>
      <c r="D602">
        <f>Tableau1[[#This Row],[d1]]-$R$4*SQRT($O$4)</f>
        <v>1.653391959572895</v>
      </c>
      <c r="E602">
        <f>NORMSDIST(Tableau1[[#This Row],[d1]])</f>
        <v>0.994666031526792</v>
      </c>
      <c r="F602">
        <f>NORMSDIST(Tableau1[[#This Row],[d2]])</f>
        <v>0.95087444090899886</v>
      </c>
      <c r="G602">
        <f>Tableau1[[#This Row],[P]]*Tableau1[[#This Row],[N(d1)]]-$P$4*EXP(-$N$4*$O$4)*Tableau1[[#This Row],[N(d2)]]</f>
        <v>510.87214293223627</v>
      </c>
      <c r="L602">
        <f>MAX(Tableau1[[#This Row],[P]]-$P$4)-Tableau1[[#This Row],[C]]</f>
        <v>-5.8721429322362724</v>
      </c>
      <c r="M602">
        <f xml:space="preserve"> Tableau1[[#This Row],[C]] - 0.5 * (-50) * (Tableau1[[#This Row],[P]] - $P$4)</f>
        <v>13135.872142932236</v>
      </c>
    </row>
    <row r="603" spans="2:13" x14ac:dyDescent="0.3">
      <c r="B603">
        <v>601</v>
      </c>
      <c r="C603">
        <f t="shared" si="9"/>
        <v>2.5552422699274078</v>
      </c>
      <c r="D603">
        <f>Tableau1[[#This Row],[d1]]-$R$4*SQRT($O$4)</f>
        <v>1.6552422699274079</v>
      </c>
      <c r="E603">
        <f>NORMSDIST(Tableau1[[#This Row],[d1]])</f>
        <v>0.99469430440440099</v>
      </c>
      <c r="F603">
        <f>NORMSDIST(Tableau1[[#This Row],[d2]])</f>
        <v>0.95106231797029883</v>
      </c>
      <c r="G603">
        <f>Tableau1[[#This Row],[P]]*Tableau1[[#This Row],[N(d1)]]-$P$4*EXP(-$N$4*$O$4)*Tableau1[[#This Row],[N(d2)]]</f>
        <v>511.86682311526079</v>
      </c>
      <c r="L603">
        <f>MAX(Tableau1[[#This Row],[P]]-$P$4)-Tableau1[[#This Row],[C]]</f>
        <v>-5.8668231152607859</v>
      </c>
      <c r="M603">
        <f xml:space="preserve"> Tableau1[[#This Row],[C]] - 0.5 * (-50) * (Tableau1[[#This Row],[P]] - $P$4)</f>
        <v>13161.866823115261</v>
      </c>
    </row>
    <row r="604" spans="2:13" x14ac:dyDescent="0.3">
      <c r="B604">
        <v>602</v>
      </c>
      <c r="C604">
        <f t="shared" si="9"/>
        <v>2.5570895041203112</v>
      </c>
      <c r="D604">
        <f>Tableau1[[#This Row],[d1]]-$R$4*SQRT($O$4)</f>
        <v>1.6570895041203113</v>
      </c>
      <c r="E604">
        <f>NORMSDIST(Tableau1[[#This Row],[d1]])</f>
        <v>0.9947223972517486</v>
      </c>
      <c r="F604">
        <f>NORMSDIST(Tableau1[[#This Row],[d2]])</f>
        <v>0.95124930958234122</v>
      </c>
      <c r="G604">
        <f>Tableau1[[#This Row],[P]]*Tableau1[[#This Row],[N(d1)]]-$P$4*EXP(-$N$4*$O$4)*Tableau1[[#This Row],[N(d2)]]</f>
        <v>512.86153148103494</v>
      </c>
      <c r="L604">
        <f>MAX(Tableau1[[#This Row],[P]]-$P$4)-Tableau1[[#This Row],[C]]</f>
        <v>-5.8615314810349446</v>
      </c>
      <c r="M604">
        <f xml:space="preserve"> Tableau1[[#This Row],[C]] - 0.5 * (-50) * (Tableau1[[#This Row],[P]] - $P$4)</f>
        <v>13187.861531481034</v>
      </c>
    </row>
    <row r="605" spans="2:13" x14ac:dyDescent="0.3">
      <c r="B605">
        <v>603</v>
      </c>
      <c r="C605">
        <f t="shared" si="9"/>
        <v>2.5589336723629383</v>
      </c>
      <c r="D605">
        <f>Tableau1[[#This Row],[d1]]-$R$4*SQRT($O$4)</f>
        <v>1.6589336723629384</v>
      </c>
      <c r="E605">
        <f>NORMSDIST(Tableau1[[#This Row],[d1]])</f>
        <v>0.99475031141622627</v>
      </c>
      <c r="F605">
        <f>NORMSDIST(Tableau1[[#This Row],[d2]])</f>
        <v>0.9514354207441057</v>
      </c>
      <c r="G605">
        <f>Tableau1[[#This Row],[P]]*Tableau1[[#This Row],[N(d1)]]-$P$4*EXP(-$N$4*$O$4)*Tableau1[[#This Row],[N(d2)]]</f>
        <v>513.85626785020349</v>
      </c>
      <c r="L605">
        <f>MAX(Tableau1[[#This Row],[P]]-$P$4)-Tableau1[[#This Row],[C]]</f>
        <v>-5.8562678502034942</v>
      </c>
      <c r="M605">
        <f xml:space="preserve"> Tableau1[[#This Row],[C]] - 0.5 * (-50) * (Tableau1[[#This Row],[P]] - $P$4)</f>
        <v>13213.856267850204</v>
      </c>
    </row>
    <row r="606" spans="2:13" x14ac:dyDescent="0.3">
      <c r="B606">
        <v>604</v>
      </c>
      <c r="C606">
        <f t="shared" si="9"/>
        <v>2.5607747848158597</v>
      </c>
      <c r="D606">
        <f>Tableau1[[#This Row],[d1]]-$R$4*SQRT($O$4)</f>
        <v>1.6607747848158598</v>
      </c>
      <c r="E606">
        <f>NORMSDIST(Tableau1[[#This Row],[d1]])</f>
        <v>0.99477804823358373</v>
      </c>
      <c r="F606">
        <f>NORMSDIST(Tableau1[[#This Row],[d2]])</f>
        <v>0.9516206564215578</v>
      </c>
      <c r="G606">
        <f>Tableau1[[#This Row],[P]]*Tableau1[[#This Row],[N(d1)]]-$P$4*EXP(-$N$4*$O$4)*Tableau1[[#This Row],[N(d2)]]</f>
        <v>514.85103204475195</v>
      </c>
      <c r="L606">
        <f>MAX(Tableau1[[#This Row],[P]]-$P$4)-Tableau1[[#This Row],[C]]</f>
        <v>-5.8510320447519462</v>
      </c>
      <c r="M606">
        <f xml:space="preserve"> Tableau1[[#This Row],[C]] - 0.5 * (-50) * (Tableau1[[#This Row],[P]] - $P$4)</f>
        <v>13239.851032044751</v>
      </c>
    </row>
    <row r="607" spans="2:13" x14ac:dyDescent="0.3">
      <c r="B607">
        <v>605</v>
      </c>
      <c r="C607">
        <f t="shared" si="9"/>
        <v>2.5626128515892228</v>
      </c>
      <c r="D607">
        <f>Tableau1[[#This Row],[d1]]-$R$4*SQRT($O$4)</f>
        <v>1.6626128515892229</v>
      </c>
      <c r="E607">
        <f>NORMSDIST(Tableau1[[#This Row],[d1]])</f>
        <v>0.99480560902804416</v>
      </c>
      <c r="F607">
        <f>NORMSDIST(Tableau1[[#This Row],[d2]])</f>
        <v>0.95180502154789914</v>
      </c>
      <c r="G607">
        <f>Tableau1[[#This Row],[P]]*Tableau1[[#This Row],[N(d1)]]-$P$4*EXP(-$N$4*$O$4)*Tableau1[[#This Row],[N(d2)]]</f>
        <v>515.8458238879964</v>
      </c>
      <c r="L607">
        <f>MAX(Tableau1[[#This Row],[P]]-$P$4)-Tableau1[[#This Row],[C]]</f>
        <v>-5.8458238879964028</v>
      </c>
      <c r="M607">
        <f xml:space="preserve"> Tableau1[[#This Row],[C]] - 0.5 * (-50) * (Tableau1[[#This Row],[P]] - $P$4)</f>
        <v>13265.845823887996</v>
      </c>
    </row>
    <row r="608" spans="2:13" x14ac:dyDescent="0.3">
      <c r="B608">
        <v>606</v>
      </c>
      <c r="C608">
        <f t="shared" si="9"/>
        <v>2.5644478827430817</v>
      </c>
      <c r="D608">
        <f>Tableau1[[#This Row],[d1]]-$R$4*SQRT($O$4)</f>
        <v>1.6644478827430818</v>
      </c>
      <c r="E608">
        <f>NORMSDIST(Tableau1[[#This Row],[d1]])</f>
        <v>0.99483299511241674</v>
      </c>
      <c r="F608">
        <f>NORMSDIST(Tableau1[[#This Row],[d2]])</f>
        <v>0.9519885210238147</v>
      </c>
      <c r="G608">
        <f>Tableau1[[#This Row],[P]]*Tableau1[[#This Row],[N(d1)]]-$P$4*EXP(-$N$4*$O$4)*Tableau1[[#This Row],[N(d2)]]</f>
        <v>516.84064320457151</v>
      </c>
      <c r="L608">
        <f>MAX(Tableau1[[#This Row],[P]]-$P$4)-Tableau1[[#This Row],[C]]</f>
        <v>-5.8406432045715064</v>
      </c>
      <c r="M608">
        <f xml:space="preserve"> Tableau1[[#This Row],[C]] - 0.5 * (-50) * (Tableau1[[#This Row],[P]] - $P$4)</f>
        <v>13291.840643204572</v>
      </c>
    </row>
    <row r="609" spans="2:13" x14ac:dyDescent="0.3">
      <c r="B609">
        <v>607</v>
      </c>
      <c r="C609">
        <f t="shared" si="9"/>
        <v>2.5662798882877302</v>
      </c>
      <c r="D609">
        <f>Tableau1[[#This Row],[d1]]-$R$4*SQRT($O$4)</f>
        <v>1.6662798882877303</v>
      </c>
      <c r="E609">
        <f>NORMSDIST(Tableau1[[#This Row],[d1]])</f>
        <v>0.99486020778820849</v>
      </c>
      <c r="F609">
        <f>NORMSDIST(Tableau1[[#This Row],[d2]])</f>
        <v>0.95217115971771915</v>
      </c>
      <c r="G609">
        <f>Tableau1[[#This Row],[P]]*Tableau1[[#This Row],[N(d1)]]-$P$4*EXP(-$N$4*$O$4)*Tableau1[[#This Row],[N(d2)]]</f>
        <v>517.8354898204185</v>
      </c>
      <c r="L609">
        <f>MAX(Tableau1[[#This Row],[P]]-$P$4)-Tableau1[[#This Row],[C]]</f>
        <v>-5.8354898204185019</v>
      </c>
      <c r="M609">
        <f xml:space="preserve"> Tableau1[[#This Row],[C]] - 0.5 * (-50) * (Tableau1[[#This Row],[P]] - $P$4)</f>
        <v>13317.835489820418</v>
      </c>
    </row>
    <row r="610" spans="2:13" x14ac:dyDescent="0.3">
      <c r="B610">
        <v>608</v>
      </c>
      <c r="C610">
        <f t="shared" si="9"/>
        <v>2.5681088781840291</v>
      </c>
      <c r="D610">
        <f>Tableau1[[#This Row],[d1]]-$R$4*SQRT($O$4)</f>
        <v>1.6681088781840292</v>
      </c>
      <c r="E610">
        <f>NORMSDIST(Tableau1[[#This Row],[d1]])</f>
        <v>0.99488724834573561</v>
      </c>
      <c r="F610">
        <f>NORMSDIST(Tableau1[[#This Row],[d2]])</f>
        <v>0.95235294246599989</v>
      </c>
      <c r="G610">
        <f>Tableau1[[#This Row],[P]]*Tableau1[[#This Row],[N(d1)]]-$P$4*EXP(-$N$4*$O$4)*Tableau1[[#This Row],[N(d2)]]</f>
        <v>518.83036356277535</v>
      </c>
      <c r="L610">
        <f>MAX(Tableau1[[#This Row],[P]]-$P$4)-Tableau1[[#This Row],[C]]</f>
        <v>-5.8303635627753465</v>
      </c>
      <c r="M610">
        <f xml:space="preserve"> Tableau1[[#This Row],[C]] - 0.5 * (-50) * (Tableau1[[#This Row],[P]] - $P$4)</f>
        <v>13343.830363562774</v>
      </c>
    </row>
    <row r="611" spans="2:13" x14ac:dyDescent="0.3">
      <c r="B611">
        <v>609</v>
      </c>
      <c r="C611">
        <f t="shared" si="9"/>
        <v>2.5699348623437288</v>
      </c>
      <c r="D611">
        <f>Tableau1[[#This Row],[d1]]-$R$4*SQRT($O$4)</f>
        <v>1.6699348623437289</v>
      </c>
      <c r="E611">
        <f>NORMSDIST(Tableau1[[#This Row],[d1]])</f>
        <v>0.99491411806423191</v>
      </c>
      <c r="F611">
        <f>NORMSDIST(Tableau1[[#This Row],[d2]])</f>
        <v>0.95253387407325874</v>
      </c>
      <c r="G611">
        <f>Tableau1[[#This Row],[P]]*Tableau1[[#This Row],[N(d1)]]-$P$4*EXP(-$N$4*$O$4)*Tableau1[[#This Row],[N(d2)]]</f>
        <v>519.82526426016375</v>
      </c>
      <c r="L611">
        <f>MAX(Tableau1[[#This Row],[P]]-$P$4)-Tableau1[[#This Row],[C]]</f>
        <v>-5.825264260163749</v>
      </c>
      <c r="M611">
        <f xml:space="preserve"> Tableau1[[#This Row],[C]] - 0.5 * (-50) * (Tableau1[[#This Row],[P]] - $P$4)</f>
        <v>13369.825264260164</v>
      </c>
    </row>
    <row r="612" spans="2:13" x14ac:dyDescent="0.3">
      <c r="B612">
        <v>610</v>
      </c>
      <c r="C612">
        <f t="shared" si="9"/>
        <v>2.5717578506297958</v>
      </c>
      <c r="D612">
        <f>Tableau1[[#This Row],[d1]]-$R$4*SQRT($O$4)</f>
        <v>1.6717578506297959</v>
      </c>
      <c r="E612">
        <f>NORMSDIST(Tableau1[[#This Row],[d1]])</f>
        <v>0.99494081821195801</v>
      </c>
      <c r="F612">
        <f>NORMSDIST(Tableau1[[#This Row],[d2]])</f>
        <v>0.95271395931255154</v>
      </c>
      <c r="G612">
        <f>Tableau1[[#This Row],[P]]*Tableau1[[#This Row],[N(d1)]]-$P$4*EXP(-$N$4*$O$4)*Tableau1[[#This Row],[N(d2)]]</f>
        <v>520.82019174238019</v>
      </c>
      <c r="L612">
        <f>MAX(Tableau1[[#This Row],[P]]-$P$4)-Tableau1[[#This Row],[C]]</f>
        <v>-5.8201917423801888</v>
      </c>
      <c r="M612">
        <f xml:space="preserve"> Tableau1[[#This Row],[C]] - 0.5 * (-50) * (Tableau1[[#This Row],[P]] - $P$4)</f>
        <v>13395.820191742379</v>
      </c>
    </row>
    <row r="613" spans="2:13" x14ac:dyDescent="0.3">
      <c r="B613">
        <v>611</v>
      </c>
      <c r="C613">
        <f t="shared" si="9"/>
        <v>2.5735778528567272</v>
      </c>
      <c r="D613">
        <f>Tableau1[[#This Row],[d1]]-$R$4*SQRT($O$4)</f>
        <v>1.6735778528567273</v>
      </c>
      <c r="E613">
        <f>NORMSDIST(Tableau1[[#This Row],[d1]])</f>
        <v>0.99496735004630754</v>
      </c>
      <c r="F613">
        <f>NORMSDIST(Tableau1[[#This Row],[d2]])</f>
        <v>0.95289320292562507</v>
      </c>
      <c r="G613">
        <f>Tableau1[[#This Row],[P]]*Tableau1[[#This Row],[N(d1)]]-$P$4*EXP(-$N$4*$O$4)*Tableau1[[#This Row],[N(d2)]]</f>
        <v>521.8151458404833</v>
      </c>
      <c r="L613">
        <f>MAX(Tableau1[[#This Row],[P]]-$P$4)-Tableau1[[#This Row],[C]]</f>
        <v>-5.8151458404832965</v>
      </c>
      <c r="M613">
        <f xml:space="preserve"> Tableau1[[#This Row],[C]] - 0.5 * (-50) * (Tableau1[[#This Row],[P]] - $P$4)</f>
        <v>13421.815145840483</v>
      </c>
    </row>
    <row r="614" spans="2:13" x14ac:dyDescent="0.3">
      <c r="B614">
        <v>612</v>
      </c>
      <c r="C614">
        <f t="shared" si="9"/>
        <v>2.5753948787908723</v>
      </c>
      <c r="D614">
        <f>Tableau1[[#This Row],[d1]]-$R$4*SQRT($O$4)</f>
        <v>1.6753948787908723</v>
      </c>
      <c r="E614">
        <f>NORMSDIST(Tableau1[[#This Row],[d1]])</f>
        <v>0.99499371481391363</v>
      </c>
      <c r="F614">
        <f>NORMSDIST(Tableau1[[#This Row],[d2]])</f>
        <v>0.95307160962315296</v>
      </c>
      <c r="G614">
        <f>Tableau1[[#This Row],[P]]*Tableau1[[#This Row],[N(d1)]]-$P$4*EXP(-$N$4*$O$4)*Tableau1[[#This Row],[N(d2)]]</f>
        <v>522.81012638678408</v>
      </c>
      <c r="L614">
        <f>MAX(Tableau1[[#This Row],[P]]-$P$4)-Tableau1[[#This Row],[C]]</f>
        <v>-5.8101263867840771</v>
      </c>
      <c r="M614">
        <f xml:space="preserve"> Tableau1[[#This Row],[C]] - 0.5 * (-50) * (Tableau1[[#This Row],[P]] - $P$4)</f>
        <v>13447.810126386785</v>
      </c>
    </row>
    <row r="615" spans="2:13" x14ac:dyDescent="0.3">
      <c r="B615">
        <v>613</v>
      </c>
      <c r="C615">
        <f t="shared" si="9"/>
        <v>2.5772089381507448</v>
      </c>
      <c r="D615">
        <f>Tableau1[[#This Row],[d1]]-$R$4*SQRT($O$4)</f>
        <v>1.6772089381507449</v>
      </c>
      <c r="E615">
        <f>NORMSDIST(Tableau1[[#This Row],[d1]])</f>
        <v>0.99501991375075338</v>
      </c>
      <c r="F615">
        <f>NORMSDIST(Tableau1[[#This Row],[d2]])</f>
        <v>0.95324918408496884</v>
      </c>
      <c r="G615">
        <f>Tableau1[[#This Row],[P]]*Tableau1[[#This Row],[N(d1)]]-$P$4*EXP(-$N$4*$O$4)*Tableau1[[#This Row],[N(d2)]]</f>
        <v>523.80513321483443</v>
      </c>
      <c r="L615">
        <f>MAX(Tableau1[[#This Row],[P]]-$P$4)-Tableau1[[#This Row],[C]]</f>
        <v>-5.8051332148344272</v>
      </c>
      <c r="M615">
        <f xml:space="preserve"> Tableau1[[#This Row],[C]] - 0.5 * (-50) * (Tableau1[[#This Row],[P]] - $P$4)</f>
        <v>13473.805133214835</v>
      </c>
    </row>
    <row r="616" spans="2:13" x14ac:dyDescent="0.3">
      <c r="B616">
        <v>614</v>
      </c>
      <c r="C616">
        <f t="shared" si="9"/>
        <v>2.5790200406073351</v>
      </c>
      <c r="D616">
        <f>Tableau1[[#This Row],[d1]]-$R$4*SQRT($O$4)</f>
        <v>1.6790200406073352</v>
      </c>
      <c r="E616">
        <f>NORMSDIST(Tableau1[[#This Row],[d1]])</f>
        <v>0.99504594808225133</v>
      </c>
      <c r="F616">
        <f>NORMSDIST(Tableau1[[#This Row],[d2]])</f>
        <v>0.95342593096029815</v>
      </c>
      <c r="G616">
        <f>Tableau1[[#This Row],[P]]*Tableau1[[#This Row],[N(d1)]]-$P$4*EXP(-$N$4*$O$4)*Tableau1[[#This Row],[N(d2)]]</f>
        <v>524.80016615941724</v>
      </c>
      <c r="L616">
        <f>MAX(Tableau1[[#This Row],[P]]-$P$4)-Tableau1[[#This Row],[C]]</f>
        <v>-5.8001661594172447</v>
      </c>
      <c r="M616">
        <f xml:space="preserve"> Tableau1[[#This Row],[C]] - 0.5 * (-50) * (Tableau1[[#This Row],[P]] - $P$4)</f>
        <v>13499.800166159417</v>
      </c>
    </row>
    <row r="617" spans="2:13" x14ac:dyDescent="0.3">
      <c r="B617">
        <v>615</v>
      </c>
      <c r="C617">
        <f t="shared" si="9"/>
        <v>2.5808281957844188</v>
      </c>
      <c r="D617">
        <f>Tableau1[[#This Row],[d1]]-$R$4*SQRT($O$4)</f>
        <v>1.6808281957844189</v>
      </c>
      <c r="E617">
        <f>NORMSDIST(Tableau1[[#This Row],[d1]])</f>
        <v>0.99507181902338204</v>
      </c>
      <c r="F617">
        <f>NORMSDIST(Tableau1[[#This Row],[d2]])</f>
        <v>0.95360185486798676</v>
      </c>
      <c r="G617">
        <f>Tableau1[[#This Row],[P]]*Tableau1[[#This Row],[N(d1)]]-$P$4*EXP(-$N$4*$O$4)*Tableau1[[#This Row],[N(d2)]]</f>
        <v>525.79522505653551</v>
      </c>
      <c r="L617">
        <f>MAX(Tableau1[[#This Row],[P]]-$P$4)-Tableau1[[#This Row],[C]]</f>
        <v>-5.7952250565355143</v>
      </c>
      <c r="M617">
        <f xml:space="preserve"> Tableau1[[#This Row],[C]] - 0.5 * (-50) * (Tableau1[[#This Row],[P]] - $P$4)</f>
        <v>13525.795225056536</v>
      </c>
    </row>
    <row r="618" spans="2:13" x14ac:dyDescent="0.3">
      <c r="B618">
        <v>616</v>
      </c>
      <c r="C618">
        <f t="shared" si="9"/>
        <v>2.5826334132588653</v>
      </c>
      <c r="D618">
        <f>Tableau1[[#This Row],[d1]]-$R$4*SQRT($O$4)</f>
        <v>1.6826334132588654</v>
      </c>
      <c r="E618">
        <f>NORMSDIST(Tableau1[[#This Row],[d1]])</f>
        <v>0.99509752777877147</v>
      </c>
      <c r="F618">
        <f>NORMSDIST(Tableau1[[#This Row],[d2]])</f>
        <v>0.95377696039672955</v>
      </c>
      <c r="G618">
        <f>Tableau1[[#This Row],[P]]*Tableau1[[#This Row],[N(d1)]]-$P$4*EXP(-$N$4*$O$4)*Tableau1[[#This Row],[N(d2)]]</f>
        <v>526.79030974340219</v>
      </c>
      <c r="L618">
        <f>MAX(Tableau1[[#This Row],[P]]-$P$4)-Tableau1[[#This Row],[C]]</f>
        <v>-5.7903097434021902</v>
      </c>
      <c r="M618">
        <f xml:space="preserve"> Tableau1[[#This Row],[C]] - 0.5 * (-50) * (Tableau1[[#This Row],[P]] - $P$4)</f>
        <v>13551.790309743403</v>
      </c>
    </row>
    <row r="619" spans="2:13" x14ac:dyDescent="0.3">
      <c r="B619">
        <v>617</v>
      </c>
      <c r="C619">
        <f t="shared" si="9"/>
        <v>2.584435702560941</v>
      </c>
      <c r="D619">
        <f>Tableau1[[#This Row],[d1]]-$R$4*SQRT($O$4)</f>
        <v>1.6844357025609411</v>
      </c>
      <c r="E619">
        <f>NORMSDIST(Tableau1[[#This Row],[d1]])</f>
        <v>0.99512307554279689</v>
      </c>
      <c r="F619">
        <f>NORMSDIST(Tableau1[[#This Row],[d2]])</f>
        <v>0.9539512521052953</v>
      </c>
      <c r="G619">
        <f>Tableau1[[#This Row],[P]]*Tableau1[[#This Row],[N(d1)]]-$P$4*EXP(-$N$4*$O$4)*Tableau1[[#This Row],[N(d2)]]</f>
        <v>527.78542005842939</v>
      </c>
      <c r="L619">
        <f>MAX(Tableau1[[#This Row],[P]]-$P$4)-Tableau1[[#This Row],[C]]</f>
        <v>-5.7854200584293949</v>
      </c>
      <c r="M619">
        <f xml:space="preserve"> Tableau1[[#This Row],[C]] - 0.5 * (-50) * (Tableau1[[#This Row],[P]] - $P$4)</f>
        <v>13577.78542005843</v>
      </c>
    </row>
    <row r="620" spans="2:13" x14ac:dyDescent="0.3">
      <c r="B620">
        <v>618</v>
      </c>
      <c r="C620">
        <f t="shared" si="9"/>
        <v>2.5862350731746107</v>
      </c>
      <c r="D620">
        <f>Tableau1[[#This Row],[d1]]-$R$4*SQRT($O$4)</f>
        <v>1.6862350731746107</v>
      </c>
      <c r="E620">
        <f>NORMSDIST(Tableau1[[#This Row],[d1]])</f>
        <v>0.99514846349968644</v>
      </c>
      <c r="F620">
        <f>NORMSDIST(Tableau1[[#This Row],[d2]])</f>
        <v>0.95412473452275059</v>
      </c>
      <c r="G620">
        <f>Tableau1[[#This Row],[P]]*Tableau1[[#This Row],[N(d1)]]-$P$4*EXP(-$N$4*$O$4)*Tableau1[[#This Row],[N(d2)]]</f>
        <v>528.78055584121887</v>
      </c>
      <c r="L620">
        <f>MAX(Tableau1[[#This Row],[P]]-$P$4)-Tableau1[[#This Row],[C]]</f>
        <v>-5.7805558412188702</v>
      </c>
      <c r="M620">
        <f xml:space="preserve"> Tableau1[[#This Row],[C]] - 0.5 * (-50) * (Tableau1[[#This Row],[P]] - $P$4)</f>
        <v>13603.780555841218</v>
      </c>
    </row>
    <row r="621" spans="2:13" x14ac:dyDescent="0.3">
      <c r="B621">
        <v>619</v>
      </c>
      <c r="C621">
        <f t="shared" si="9"/>
        <v>2.5880315345378389</v>
      </c>
      <c r="D621">
        <f>Tableau1[[#This Row],[d1]]-$R$4*SQRT($O$4)</f>
        <v>1.6880315345378389</v>
      </c>
      <c r="E621">
        <f>NORMSDIST(Tableau1[[#This Row],[d1]])</f>
        <v>0.9951736928236169</v>
      </c>
      <c r="F621">
        <f>NORMSDIST(Tableau1[[#This Row],[d2]])</f>
        <v>0.95429741214868202</v>
      </c>
      <c r="G621">
        <f>Tableau1[[#This Row],[P]]*Tableau1[[#This Row],[N(d1)]]-$P$4*EXP(-$N$4*$O$4)*Tableau1[[#This Row],[N(d2)]]</f>
        <v>529.77571693255118</v>
      </c>
      <c r="L621">
        <f>MAX(Tableau1[[#This Row],[P]]-$P$4)-Tableau1[[#This Row],[C]]</f>
        <v>-5.7757169325511768</v>
      </c>
      <c r="M621">
        <f xml:space="preserve"> Tableau1[[#This Row],[C]] - 0.5 * (-50) * (Tableau1[[#This Row],[P]] - $P$4)</f>
        <v>13629.77571693255</v>
      </c>
    </row>
    <row r="622" spans="2:13" x14ac:dyDescent="0.3">
      <c r="B622">
        <v>620</v>
      </c>
      <c r="C622">
        <f t="shared" si="9"/>
        <v>2.589825096042885</v>
      </c>
      <c r="D622">
        <f>Tableau1[[#This Row],[d1]]-$R$4*SQRT($O$4)</f>
        <v>1.6898250960428851</v>
      </c>
      <c r="E622">
        <f>NORMSDIST(Tableau1[[#This Row],[d1]])</f>
        <v>0.99519876467881052</v>
      </c>
      <c r="F622">
        <f>NORMSDIST(Tableau1[[#This Row],[d2]])</f>
        <v>0.9544692894534158</v>
      </c>
      <c r="G622">
        <f>Tableau1[[#This Row],[P]]*Tableau1[[#This Row],[N(d1)]]-$P$4*EXP(-$N$4*$O$4)*Tableau1[[#This Row],[N(d2)]]</f>
        <v>530.7709031743766</v>
      </c>
      <c r="L622">
        <f>MAX(Tableau1[[#This Row],[P]]-$P$4)-Tableau1[[#This Row],[C]]</f>
        <v>-5.7709031743765991</v>
      </c>
      <c r="M622">
        <f xml:space="preserve"> Tableau1[[#This Row],[C]] - 0.5 * (-50) * (Tableau1[[#This Row],[P]] - $P$4)</f>
        <v>13655.770903174376</v>
      </c>
    </row>
    <row r="623" spans="2:13" x14ac:dyDescent="0.3">
      <c r="B623">
        <v>621</v>
      </c>
      <c r="C623">
        <f t="shared" si="9"/>
        <v>2.5916157670365978</v>
      </c>
      <c r="D623">
        <f>Tableau1[[#This Row],[d1]]-$R$4*SQRT($O$4)</f>
        <v>1.6916157670365979</v>
      </c>
      <c r="E623">
        <f>NORMSDIST(Tableau1[[#This Row],[d1]])</f>
        <v>0.99522368021963148</v>
      </c>
      <c r="F623">
        <f>NORMSDIST(Tableau1[[#This Row],[d2]])</f>
        <v>0.9546403708782355</v>
      </c>
      <c r="G623">
        <f>Tableau1[[#This Row],[P]]*Tableau1[[#This Row],[N(d1)]]-$P$4*EXP(-$N$4*$O$4)*Tableau1[[#This Row],[N(d2)]]</f>
        <v>531.76611440980423</v>
      </c>
      <c r="L623">
        <f>MAX(Tableau1[[#This Row],[P]]-$P$4)-Tableau1[[#This Row],[C]]</f>
        <v>-5.7661144098042314</v>
      </c>
      <c r="M623">
        <f xml:space="preserve"> Tableau1[[#This Row],[C]] - 0.5 * (-50) * (Tableau1[[#This Row],[P]] - $P$4)</f>
        <v>13681.766114409804</v>
      </c>
    </row>
    <row r="624" spans="2:13" x14ac:dyDescent="0.3">
      <c r="B624">
        <v>622</v>
      </c>
      <c r="C624">
        <f t="shared" si="9"/>
        <v>2.5934035568207094</v>
      </c>
      <c r="D624">
        <f>Tableau1[[#This Row],[d1]]-$R$4*SQRT($O$4)</f>
        <v>1.6934035568207095</v>
      </c>
      <c r="E624">
        <f>NORMSDIST(Tableau1[[#This Row],[d1]])</f>
        <v>0.99524844059068029</v>
      </c>
      <c r="F624">
        <f>NORMSDIST(Tableau1[[#This Row],[d2]])</f>
        <v>0.95481066083559929</v>
      </c>
      <c r="G624">
        <f>Tableau1[[#This Row],[P]]*Tableau1[[#This Row],[N(d1)]]-$P$4*EXP(-$N$4*$O$4)*Tableau1[[#This Row],[N(d2)]]</f>
        <v>532.76135048309266</v>
      </c>
      <c r="L624">
        <f>MAX(Tableau1[[#This Row],[P]]-$P$4)-Tableau1[[#This Row],[C]]</f>
        <v>-5.7613504830926558</v>
      </c>
      <c r="M624">
        <f xml:space="preserve"> Tableau1[[#This Row],[C]] - 0.5 * (-50) * (Tableau1[[#This Row],[P]] - $P$4)</f>
        <v>13707.761350483093</v>
      </c>
    </row>
    <row r="625" spans="2:13" x14ac:dyDescent="0.3">
      <c r="B625">
        <v>623</v>
      </c>
      <c r="C625">
        <f t="shared" si="9"/>
        <v>2.595188474652125</v>
      </c>
      <c r="D625">
        <f>Tableau1[[#This Row],[d1]]-$R$4*SQRT($O$4)</f>
        <v>1.6951884746521251</v>
      </c>
      <c r="E625">
        <f>NORMSDIST(Tableau1[[#This Row],[d1]])</f>
        <v>0.99527304692688778</v>
      </c>
      <c r="F625">
        <f>NORMSDIST(Tableau1[[#This Row],[d2]])</f>
        <v>0.9549801637093539</v>
      </c>
      <c r="G625">
        <f>Tableau1[[#This Row],[P]]*Tableau1[[#This Row],[N(d1)]]-$P$4*EXP(-$N$4*$O$4)*Tableau1[[#This Row],[N(d2)]]</f>
        <v>533.75661123964073</v>
      </c>
      <c r="L625">
        <f>MAX(Tableau1[[#This Row],[P]]-$P$4)-Tableau1[[#This Row],[C]]</f>
        <v>-5.7566112396407334</v>
      </c>
      <c r="M625">
        <f xml:space="preserve"> Tableau1[[#This Row],[C]] - 0.5 * (-50) * (Tableau1[[#This Row],[P]] - $P$4)</f>
        <v>13733.756611239642</v>
      </c>
    </row>
    <row r="626" spans="2:13" x14ac:dyDescent="0.3">
      <c r="B626">
        <v>624</v>
      </c>
      <c r="C626">
        <f t="shared" si="9"/>
        <v>2.5969705297432073</v>
      </c>
      <c r="D626">
        <f>Tableau1[[#This Row],[d1]]-$R$4*SQRT($O$4)</f>
        <v>1.6969705297432074</v>
      </c>
      <c r="E626">
        <f>NORMSDIST(Tableau1[[#This Row],[d1]])</f>
        <v>0.99529750035360831</v>
      </c>
      <c r="F626">
        <f>NORMSDIST(Tableau1[[#This Row],[d2]])</f>
        <v>0.9551488838549469</v>
      </c>
      <c r="G626">
        <f>Tableau1[[#This Row],[P]]*Tableau1[[#This Row],[N(d1)]]-$P$4*EXP(-$N$4*$O$4)*Tableau1[[#This Row],[N(d2)]]</f>
        <v>534.7518965259768</v>
      </c>
      <c r="L626">
        <f>MAX(Tableau1[[#This Row],[P]]-$P$4)-Tableau1[[#This Row],[C]]</f>
        <v>-5.7518965259768038</v>
      </c>
      <c r="M626">
        <f xml:space="preserve"> Tableau1[[#This Row],[C]] - 0.5 * (-50) * (Tableau1[[#This Row],[P]] - $P$4)</f>
        <v>13759.751896525977</v>
      </c>
    </row>
    <row r="627" spans="2:13" x14ac:dyDescent="0.3">
      <c r="B627">
        <v>625</v>
      </c>
      <c r="C627">
        <f t="shared" si="9"/>
        <v>2.5987497312620671</v>
      </c>
      <c r="D627">
        <f>Tableau1[[#This Row],[d1]]-$R$4*SQRT($O$4)</f>
        <v>1.6987497312620672</v>
      </c>
      <c r="E627">
        <f>NORMSDIST(Tableau1[[#This Row],[d1]])</f>
        <v>0.99532180198671116</v>
      </c>
      <c r="F627">
        <f>NORMSDIST(Tableau1[[#This Row],[d2]])</f>
        <v>0.95531682559963838</v>
      </c>
      <c r="G627">
        <f>Tableau1[[#This Row],[P]]*Tableau1[[#This Row],[N(d1)]]-$P$4*EXP(-$N$4*$O$4)*Tableau1[[#This Row],[N(d2)]]</f>
        <v>535.74720618975016</v>
      </c>
      <c r="L627">
        <f>MAX(Tableau1[[#This Row],[P]]-$P$4)-Tableau1[[#This Row],[C]]</f>
        <v>-5.747206189750159</v>
      </c>
      <c r="M627">
        <f xml:space="preserve"> Tableau1[[#This Row],[C]] - 0.5 * (-50) * (Tableau1[[#This Row],[P]] - $P$4)</f>
        <v>13785.74720618975</v>
      </c>
    </row>
    <row r="628" spans="2:13" x14ac:dyDescent="0.3">
      <c r="B628">
        <v>626</v>
      </c>
      <c r="C628">
        <f t="shared" si="9"/>
        <v>2.6005260883328418</v>
      </c>
      <c r="D628">
        <f>Tableau1[[#This Row],[d1]]-$R$4*SQRT($O$4)</f>
        <v>1.7005260883328419</v>
      </c>
      <c r="E628">
        <f>NORMSDIST(Tableau1[[#This Row],[d1]])</f>
        <v>0.99534595293267158</v>
      </c>
      <c r="F628">
        <f>NORMSDIST(Tableau1[[#This Row],[d2]])</f>
        <v>0.95548399324270972</v>
      </c>
      <c r="G628">
        <f>Tableau1[[#This Row],[P]]*Tableau1[[#This Row],[N(d1)]]-$P$4*EXP(-$N$4*$O$4)*Tableau1[[#This Row],[N(d2)]]</f>
        <v>536.74254007972127</v>
      </c>
      <c r="L628">
        <f>MAX(Tableau1[[#This Row],[P]]-$P$4)-Tableau1[[#This Row],[C]]</f>
        <v>-5.742540079721266</v>
      </c>
      <c r="M628">
        <f xml:space="preserve"> Tableau1[[#This Row],[C]] - 0.5 * (-50) * (Tableau1[[#This Row],[P]] - $P$4)</f>
        <v>13811.742540079722</v>
      </c>
    </row>
    <row r="629" spans="2:13" x14ac:dyDescent="0.3">
      <c r="B629">
        <v>627</v>
      </c>
      <c r="C629">
        <f t="shared" si="9"/>
        <v>2.6022996100359777</v>
      </c>
      <c r="D629">
        <f>Tableau1[[#This Row],[d1]]-$R$4*SQRT($O$4)</f>
        <v>1.7022996100359777</v>
      </c>
      <c r="E629">
        <f>NORMSDIST(Tableau1[[#This Row],[d1]])</f>
        <v>0.99536995428866071</v>
      </c>
      <c r="F629">
        <f>NORMSDIST(Tableau1[[#This Row],[d2]])</f>
        <v>0.95565039105567084</v>
      </c>
      <c r="G629">
        <f>Tableau1[[#This Row],[P]]*Tableau1[[#This Row],[N(d1)]]-$P$4*EXP(-$N$4*$O$4)*Tableau1[[#This Row],[N(d2)]]</f>
        <v>537.73789804575222</v>
      </c>
      <c r="L629">
        <f>MAX(Tableau1[[#This Row],[P]]-$P$4)-Tableau1[[#This Row],[C]]</f>
        <v>-5.7378980457522175</v>
      </c>
      <c r="M629">
        <f xml:space="preserve"> Tableau1[[#This Row],[C]] - 0.5 * (-50) * (Tableau1[[#This Row],[P]] - $P$4)</f>
        <v>13837.737898045752</v>
      </c>
    </row>
    <row r="630" spans="2:13" x14ac:dyDescent="0.3">
      <c r="B630">
        <v>628</v>
      </c>
      <c r="C630">
        <f t="shared" si="9"/>
        <v>2.6040703054085088</v>
      </c>
      <c r="D630">
        <f>Tableau1[[#This Row],[d1]]-$R$4*SQRT($O$4)</f>
        <v>1.7040703054085089</v>
      </c>
      <c r="E630">
        <f>NORMSDIST(Tableau1[[#This Row],[d1]])</f>
        <v>0.99539380714263437</v>
      </c>
      <c r="F630">
        <f>NORMSDIST(Tableau1[[#This Row],[d2]])</f>
        <v>0.95581602328246584</v>
      </c>
      <c r="G630">
        <f>Tableau1[[#This Row],[P]]*Tableau1[[#This Row],[N(d1)]]-$P$4*EXP(-$N$4*$O$4)*Tableau1[[#This Row],[N(d2)]]</f>
        <v>538.73327993879798</v>
      </c>
      <c r="L630">
        <f>MAX(Tableau1[[#This Row],[P]]-$P$4)-Tableau1[[#This Row],[C]]</f>
        <v>-5.7332799387979776</v>
      </c>
      <c r="M630">
        <f xml:space="preserve"> Tableau1[[#This Row],[C]] - 0.5 * (-50) * (Tableau1[[#This Row],[P]] - $P$4)</f>
        <v>13863.733279938799</v>
      </c>
    </row>
    <row r="631" spans="2:13" x14ac:dyDescent="0.3">
      <c r="B631">
        <v>629</v>
      </c>
      <c r="C631">
        <f t="shared" si="9"/>
        <v>2.6058381834443329</v>
      </c>
      <c r="D631">
        <f>Tableau1[[#This Row],[d1]]-$R$4*SQRT($O$4)</f>
        <v>1.705838183444333</v>
      </c>
      <c r="E631">
        <f>NORMSDIST(Tableau1[[#This Row],[d1]])</f>
        <v>0.99541751257342148</v>
      </c>
      <c r="F631">
        <f>NORMSDIST(Tableau1[[#This Row],[d2]])</f>
        <v>0.95598089413967757</v>
      </c>
      <c r="G631">
        <f>Tableau1[[#This Row],[P]]*Tableau1[[#This Row],[N(d1)]]-$P$4*EXP(-$N$4*$O$4)*Tableau1[[#This Row],[N(d2)]]</f>
        <v>539.7286856108966</v>
      </c>
      <c r="L631">
        <f>MAX(Tableau1[[#This Row],[P]]-$P$4)-Tableau1[[#This Row],[C]]</f>
        <v>-5.7286856108966049</v>
      </c>
      <c r="M631">
        <f xml:space="preserve"> Tableau1[[#This Row],[C]] - 0.5 * (-50) * (Tableau1[[#This Row],[P]] - $P$4)</f>
        <v>13889.728685610897</v>
      </c>
    </row>
    <row r="632" spans="2:13" x14ac:dyDescent="0.3">
      <c r="B632">
        <v>630</v>
      </c>
      <c r="C632">
        <f t="shared" si="9"/>
        <v>2.6076032530944859</v>
      </c>
      <c r="D632">
        <f>Tableau1[[#This Row],[d1]]-$R$4*SQRT($O$4)</f>
        <v>1.707603253094486</v>
      </c>
      <c r="E632">
        <f>NORMSDIST(Tableau1[[#This Row],[d1]])</f>
        <v>0.99544107165081042</v>
      </c>
      <c r="F632">
        <f>NORMSDIST(Tableau1[[#This Row],[d2]])</f>
        <v>0.95614500781672906</v>
      </c>
      <c r="G632">
        <f>Tableau1[[#This Row],[P]]*Tableau1[[#This Row],[N(d1)]]-$P$4*EXP(-$N$4*$O$4)*Tableau1[[#This Row],[N(d2)]]</f>
        <v>540.7241149151605</v>
      </c>
      <c r="L632">
        <f>MAX(Tableau1[[#This Row],[P]]-$P$4)-Tableau1[[#This Row],[C]]</f>
        <v>-5.7241149151604986</v>
      </c>
      <c r="M632">
        <f xml:space="preserve"> Tableau1[[#This Row],[C]] - 0.5 * (-50) * (Tableau1[[#This Row],[P]] - $P$4)</f>
        <v>13915.72411491516</v>
      </c>
    </row>
    <row r="633" spans="2:13" x14ac:dyDescent="0.3">
      <c r="B633">
        <v>631</v>
      </c>
      <c r="C633">
        <f t="shared" si="9"/>
        <v>2.6093655232674133</v>
      </c>
      <c r="D633">
        <f>Tableau1[[#This Row],[d1]]-$R$4*SQRT($O$4)</f>
        <v>1.7093655232674134</v>
      </c>
      <c r="E633">
        <f>NORMSDIST(Tableau1[[#This Row],[d1]])</f>
        <v>0.99546448543563559</v>
      </c>
      <c r="F633">
        <f>NORMSDIST(Tableau1[[#This Row],[d2]])</f>
        <v>0.95630836847608436</v>
      </c>
      <c r="G633">
        <f>Tableau1[[#This Row],[P]]*Tableau1[[#This Row],[N(d1)]]-$P$4*EXP(-$N$4*$O$4)*Tableau1[[#This Row],[N(d2)]]</f>
        <v>541.71956770576742</v>
      </c>
      <c r="L633">
        <f>MAX(Tableau1[[#This Row],[P]]-$P$4)-Tableau1[[#This Row],[C]]</f>
        <v>-5.7195677057674175</v>
      </c>
      <c r="M633">
        <f xml:space="preserve"> Tableau1[[#This Row],[C]] - 0.5 * (-50) * (Tableau1[[#This Row],[P]] - $P$4)</f>
        <v>13941.719567705768</v>
      </c>
    </row>
    <row r="634" spans="2:13" x14ac:dyDescent="0.3">
      <c r="B634">
        <v>632</v>
      </c>
      <c r="C634">
        <f t="shared" si="9"/>
        <v>2.6111250028292408</v>
      </c>
      <c r="D634">
        <f>Tableau1[[#This Row],[d1]]-$R$4*SQRT($O$4)</f>
        <v>1.7111250028292408</v>
      </c>
      <c r="E634">
        <f>NORMSDIST(Tableau1[[#This Row],[d1]])</f>
        <v>0.99548775497986253</v>
      </c>
      <c r="F634">
        <f>NORMSDIST(Tableau1[[#This Row],[d2]])</f>
        <v>0.9564709802534479</v>
      </c>
      <c r="G634">
        <f>Tableau1[[#This Row],[P]]*Tableau1[[#This Row],[N(d1)]]-$P$4*EXP(-$N$4*$O$4)*Tableau1[[#This Row],[N(d2)]]</f>
        <v>542.71504383795173</v>
      </c>
      <c r="L634">
        <f>MAX(Tableau1[[#This Row],[P]]-$P$4)-Tableau1[[#This Row],[C]]</f>
        <v>-5.7150438379517254</v>
      </c>
      <c r="M634">
        <f xml:space="preserve"> Tableau1[[#This Row],[C]] - 0.5 * (-50) * (Tableau1[[#This Row],[P]] - $P$4)</f>
        <v>13967.715043837952</v>
      </c>
    </row>
    <row r="635" spans="2:13" x14ac:dyDescent="0.3">
      <c r="B635">
        <v>633</v>
      </c>
      <c r="C635">
        <f t="shared" si="9"/>
        <v>2.612881700604039</v>
      </c>
      <c r="D635">
        <f>Tableau1[[#This Row],[d1]]-$R$4*SQRT($O$4)</f>
        <v>1.7128817006040391</v>
      </c>
      <c r="E635">
        <f>NORMSDIST(Tableau1[[#This Row],[d1]])</f>
        <v>0.99551088132667198</v>
      </c>
      <c r="F635">
        <f>NORMSDIST(Tableau1[[#This Row],[d2]])</f>
        <v>0.95663284725796072</v>
      </c>
      <c r="G635">
        <f>Tableau1[[#This Row],[P]]*Tableau1[[#This Row],[N(d1)]]-$P$4*EXP(-$N$4*$O$4)*Tableau1[[#This Row],[N(d2)]]</f>
        <v>543.71054316799484</v>
      </c>
      <c r="L635">
        <f>MAX(Tableau1[[#This Row],[P]]-$P$4)-Tableau1[[#This Row],[C]]</f>
        <v>-5.7105431679948424</v>
      </c>
      <c r="M635">
        <f xml:space="preserve"> Tableau1[[#This Row],[C]] - 0.5 * (-50) * (Tableau1[[#This Row],[P]] - $P$4)</f>
        <v>13993.710543167996</v>
      </c>
    </row>
    <row r="636" spans="2:13" x14ac:dyDescent="0.3">
      <c r="B636">
        <v>634</v>
      </c>
      <c r="C636">
        <f t="shared" si="9"/>
        <v>2.6146356253740946</v>
      </c>
      <c r="D636">
        <f>Tableau1[[#This Row],[d1]]-$R$4*SQRT($O$4)</f>
        <v>1.7146356253740946</v>
      </c>
      <c r="E636">
        <f>NORMSDIST(Tableau1[[#This Row],[d1]])</f>
        <v>0.99553386551054357</v>
      </c>
      <c r="F636">
        <f>NORMSDIST(Tableau1[[#This Row],[d2]])</f>
        <v>0.95679397357239704</v>
      </c>
      <c r="G636">
        <f>Tableau1[[#This Row],[P]]*Tableau1[[#This Row],[N(d1)]]-$P$4*EXP(-$N$4*$O$4)*Tableau1[[#This Row],[N(d2)]]</f>
        <v>544.70606555321751</v>
      </c>
      <c r="L636">
        <f>MAX(Tableau1[[#This Row],[P]]-$P$4)-Tableau1[[#This Row],[C]]</f>
        <v>-5.7060655532175133</v>
      </c>
      <c r="M636">
        <f xml:space="preserve"> Tableau1[[#This Row],[C]] - 0.5 * (-50) * (Tableau1[[#This Row],[P]] - $P$4)</f>
        <v>14019.706065553217</v>
      </c>
    </row>
    <row r="637" spans="2:13" x14ac:dyDescent="0.3">
      <c r="B637">
        <v>635</v>
      </c>
      <c r="C637">
        <f t="shared" si="9"/>
        <v>2.616386785880167</v>
      </c>
      <c r="D637">
        <f>Tableau1[[#This Row],[d1]]-$R$4*SQRT($O$4)</f>
        <v>1.7163867858801671</v>
      </c>
      <c r="E637">
        <f>NORMSDIST(Tableau1[[#This Row],[d1]])</f>
        <v>0.9955567085573378</v>
      </c>
      <c r="F637">
        <f>NORMSDIST(Tableau1[[#This Row],[d2]])</f>
        <v>0.95695436325335781</v>
      </c>
      <c r="G637">
        <f>Tableau1[[#This Row],[P]]*Tableau1[[#This Row],[N(d1)]]-$P$4*EXP(-$N$4*$O$4)*Tableau1[[#This Row],[N(d2)]]</f>
        <v>545.70161085197026</v>
      </c>
      <c r="L637">
        <f>MAX(Tableau1[[#This Row],[P]]-$P$4)-Tableau1[[#This Row],[C]]</f>
        <v>-5.7016108519702584</v>
      </c>
      <c r="M637">
        <f xml:space="preserve"> Tableau1[[#This Row],[C]] - 0.5 * (-50) * (Tableau1[[#This Row],[P]] - $P$4)</f>
        <v>14045.701610851971</v>
      </c>
    </row>
    <row r="638" spans="2:13" x14ac:dyDescent="0.3">
      <c r="B638">
        <v>636</v>
      </c>
      <c r="C638">
        <f t="shared" si="9"/>
        <v>2.6181351908217567</v>
      </c>
      <c r="D638">
        <f>Tableau1[[#This Row],[d1]]-$R$4*SQRT($O$4)</f>
        <v>1.7181351908217568</v>
      </c>
      <c r="E638">
        <f>NORMSDIST(Tableau1[[#This Row],[d1]])</f>
        <v>0.99557941148437823</v>
      </c>
      <c r="F638">
        <f>NORMSDIST(Tableau1[[#This Row],[d2]])</f>
        <v>0.95711402033146309</v>
      </c>
      <c r="G638">
        <f>Tableau1[[#This Row],[P]]*Tableau1[[#This Row],[N(d1)]]-$P$4*EXP(-$N$4*$O$4)*Tableau1[[#This Row],[N(d2)]]</f>
        <v>546.69717892362564</v>
      </c>
      <c r="L638">
        <f>MAX(Tableau1[[#This Row],[P]]-$P$4)-Tableau1[[#This Row],[C]]</f>
        <v>-5.6971789236256427</v>
      </c>
      <c r="M638">
        <f xml:space="preserve"> Tableau1[[#This Row],[C]] - 0.5 * (-50) * (Tableau1[[#This Row],[P]] - $P$4)</f>
        <v>14071.697178923625</v>
      </c>
    </row>
    <row r="639" spans="2:13" x14ac:dyDescent="0.3">
      <c r="B639">
        <v>637</v>
      </c>
      <c r="C639">
        <f t="shared" si="9"/>
        <v>2.6198808488573584</v>
      </c>
      <c r="D639">
        <f>Tableau1[[#This Row],[d1]]-$R$4*SQRT($O$4)</f>
        <v>1.7198808488573585</v>
      </c>
      <c r="E639">
        <f>NORMSDIST(Tableau1[[#This Row],[d1]])</f>
        <v>0.99560197530053196</v>
      </c>
      <c r="F639">
        <f>NORMSDIST(Tableau1[[#This Row],[d2]])</f>
        <v>0.95727294881154301</v>
      </c>
      <c r="G639">
        <f>Tableau1[[#This Row],[P]]*Tableau1[[#This Row],[N(d1)]]-$P$4*EXP(-$N$4*$O$4)*Tableau1[[#This Row],[N(d2)]]</f>
        <v>547.69276962856884</v>
      </c>
      <c r="L639">
        <f>MAX(Tableau1[[#This Row],[P]]-$P$4)-Tableau1[[#This Row],[C]]</f>
        <v>-5.6927696285688398</v>
      </c>
      <c r="M639">
        <f xml:space="preserve"> Tableau1[[#This Row],[C]] - 0.5 * (-50) * (Tableau1[[#This Row],[P]] - $P$4)</f>
        <v>14097.692769628569</v>
      </c>
    </row>
    <row r="640" spans="2:13" x14ac:dyDescent="0.3">
      <c r="B640">
        <v>638</v>
      </c>
      <c r="C640">
        <f t="shared" si="9"/>
        <v>2.6216237686047212</v>
      </c>
      <c r="D640">
        <f>Tableau1[[#This Row],[d1]]-$R$4*SQRT($O$4)</f>
        <v>1.7216237686047213</v>
      </c>
      <c r="E640">
        <f>NORMSDIST(Tableau1[[#This Row],[d1]])</f>
        <v>0.99562440100628935</v>
      </c>
      <c r="F640">
        <f>NORMSDIST(Tableau1[[#This Row],[d2]])</f>
        <v>0.9574311526728263</v>
      </c>
      <c r="G640">
        <f>Tableau1[[#This Row],[P]]*Tableau1[[#This Row],[N(d1)]]-$P$4*EXP(-$N$4*$O$4)*Tableau1[[#This Row],[N(d2)]]</f>
        <v>548.68838282819002</v>
      </c>
      <c r="L640">
        <f>MAX(Tableau1[[#This Row],[P]]-$P$4)-Tableau1[[#This Row],[C]]</f>
        <v>-5.6883828281900151</v>
      </c>
      <c r="M640">
        <f xml:space="preserve"> Tableau1[[#This Row],[C]] - 0.5 * (-50) * (Tableau1[[#This Row],[P]] - $P$4)</f>
        <v>14123.68838282819</v>
      </c>
    </row>
    <row r="641" spans="2:13" x14ac:dyDescent="0.3">
      <c r="B641">
        <v>639</v>
      </c>
      <c r="C641">
        <f t="shared" si="9"/>
        <v>2.6233639586411042</v>
      </c>
      <c r="D641">
        <f>Tableau1[[#This Row],[d1]]-$R$4*SQRT($O$4)</f>
        <v>1.7233639586411043</v>
      </c>
      <c r="E641">
        <f>NORMSDIST(Tableau1[[#This Row],[d1]])</f>
        <v>0.99564668959384339</v>
      </c>
      <c r="F641">
        <f>NORMSDIST(Tableau1[[#This Row],[d2]])</f>
        <v>0.95758863586912901</v>
      </c>
      <c r="G641">
        <f>Tableau1[[#This Row],[P]]*Tableau1[[#This Row],[N(d1)]]-$P$4*EXP(-$N$4*$O$4)*Tableau1[[#This Row],[N(d2)]]</f>
        <v>549.68401838487546</v>
      </c>
      <c r="L641">
        <f>MAX(Tableau1[[#This Row],[P]]-$P$4)-Tableau1[[#This Row],[C]]</f>
        <v>-5.6840183848754577</v>
      </c>
      <c r="M641">
        <f xml:space="preserve"> Tableau1[[#This Row],[C]] - 0.5 * (-50) * (Tableau1[[#This Row],[P]] - $P$4)</f>
        <v>14149.684018384876</v>
      </c>
    </row>
    <row r="642" spans="2:13" x14ac:dyDescent="0.3">
      <c r="B642">
        <v>640</v>
      </c>
      <c r="C642">
        <f t="shared" si="9"/>
        <v>2.6251014275035298</v>
      </c>
      <c r="D642">
        <f>Tableau1[[#This Row],[d1]]-$R$4*SQRT($O$4)</f>
        <v>1.7251014275035299</v>
      </c>
      <c r="E642">
        <f>NORMSDIST(Tableau1[[#This Row],[d1]])</f>
        <v>0.99566884204716744</v>
      </c>
      <c r="F642">
        <f>NORMSDIST(Tableau1[[#This Row],[d2]])</f>
        <v>0.95774540232903982</v>
      </c>
      <c r="G642">
        <f>Tableau1[[#This Row],[P]]*Tableau1[[#This Row],[N(d1)]]-$P$4*EXP(-$N$4*$O$4)*Tableau1[[#This Row],[N(d2)]]</f>
        <v>550.67967616199974</v>
      </c>
      <c r="L642">
        <f>MAX(Tableau1[[#This Row],[P]]-$P$4)-Tableau1[[#This Row],[C]]</f>
        <v>-5.6796761619997369</v>
      </c>
      <c r="M642">
        <f xml:space="preserve"> Tableau1[[#This Row],[C]] - 0.5 * (-50) * (Tableau1[[#This Row],[P]] - $P$4)</f>
        <v>14175.679676161999</v>
      </c>
    </row>
    <row r="643" spans="2:13" x14ac:dyDescent="0.3">
      <c r="B643">
        <v>641</v>
      </c>
      <c r="C643">
        <f t="shared" ref="C643:C674" si="10" xml:space="preserve"> (LN($B643/$P$4) + ($N$4 + ($R$4^2)/2) * $O$4) / ($R$4 * SQRT($O$4))</f>
        <v>2.6268361836890324</v>
      </c>
      <c r="D643">
        <f>Tableau1[[#This Row],[d1]]-$R$4*SQRT($O$4)</f>
        <v>1.7268361836890325</v>
      </c>
      <c r="E643">
        <f>NORMSDIST(Tableau1[[#This Row],[d1]])</f>
        <v>0.995690859342093</v>
      </c>
      <c r="F643">
        <f>NORMSDIST(Tableau1[[#This Row],[d2]])</f>
        <v>0.95790145595610454</v>
      </c>
      <c r="G643">
        <f>Tableau1[[#This Row],[P]]*Tableau1[[#This Row],[N(d1)]]-$P$4*EXP(-$N$4*$O$4)*Tableau1[[#This Row],[N(d2)]]</f>
        <v>551.67535602391706</v>
      </c>
      <c r="L643">
        <f>MAX(Tableau1[[#This Row],[P]]-$P$4)-Tableau1[[#This Row],[C]]</f>
        <v>-5.6753560239170611</v>
      </c>
      <c r="M643">
        <f xml:space="preserve"> Tableau1[[#This Row],[C]] - 0.5 * (-50) * (Tableau1[[#This Row],[P]] - $P$4)</f>
        <v>14201.675356023918</v>
      </c>
    </row>
    <row r="644" spans="2:13" x14ac:dyDescent="0.3">
      <c r="B644">
        <v>642</v>
      </c>
      <c r="C644">
        <f t="shared" si="10"/>
        <v>2.6285682356549112</v>
      </c>
      <c r="D644">
        <f>Tableau1[[#This Row],[d1]]-$R$4*SQRT($O$4)</f>
        <v>1.7285682356549112</v>
      </c>
      <c r="E644">
        <f>NORMSDIST(Tableau1[[#This Row],[d1]])</f>
        <v>0.99571274244638619</v>
      </c>
      <c r="F644">
        <f>NORMSDIST(Tableau1[[#This Row],[d2]])</f>
        <v>0.95805680062900977</v>
      </c>
      <c r="G644">
        <f>Tableau1[[#This Row],[P]]*Tableau1[[#This Row],[N(d1)]]-$P$4*EXP(-$N$4*$O$4)*Tableau1[[#This Row],[N(d2)]]</f>
        <v>552.67105783595377</v>
      </c>
      <c r="L644">
        <f>MAX(Tableau1[[#This Row],[P]]-$P$4)-Tableau1[[#This Row],[C]]</f>
        <v>-5.6710578359537749</v>
      </c>
      <c r="M644">
        <f xml:space="preserve"> Tableau1[[#This Row],[C]] - 0.5 * (-50) * (Tableau1[[#This Row],[P]] - $P$4)</f>
        <v>14227.671057835954</v>
      </c>
    </row>
    <row r="645" spans="2:13" x14ac:dyDescent="0.3">
      <c r="B645">
        <v>643</v>
      </c>
      <c r="C645">
        <f t="shared" si="10"/>
        <v>2.6302975918189762</v>
      </c>
      <c r="D645">
        <f>Tableau1[[#This Row],[d1]]-$R$4*SQRT($O$4)</f>
        <v>1.7302975918189762</v>
      </c>
      <c r="E645">
        <f>NORMSDIST(Tableau1[[#This Row],[d1]])</f>
        <v>0.99573449231982336</v>
      </c>
      <c r="F645">
        <f>NORMSDIST(Tableau1[[#This Row],[d2]])</f>
        <v>0.95821144020176385</v>
      </c>
      <c r="G645">
        <f>Tableau1[[#This Row],[P]]*Tableau1[[#This Row],[N(d1)]]-$P$4*EXP(-$N$4*$O$4)*Tableau1[[#This Row],[N(d2)]]</f>
        <v>553.66678146439961</v>
      </c>
      <c r="L645">
        <f>MAX(Tableau1[[#This Row],[P]]-$P$4)-Tableau1[[#This Row],[C]]</f>
        <v>-5.6667814643996053</v>
      </c>
      <c r="M645">
        <f xml:space="preserve"> Tableau1[[#This Row],[C]] - 0.5 * (-50) * (Tableau1[[#This Row],[P]] - $P$4)</f>
        <v>14253.666781464399</v>
      </c>
    </row>
    <row r="646" spans="2:13" x14ac:dyDescent="0.3">
      <c r="B646">
        <v>644</v>
      </c>
      <c r="C646">
        <f t="shared" si="10"/>
        <v>2.6320242605597919</v>
      </c>
      <c r="D646">
        <f>Tableau1[[#This Row],[d1]]-$R$4*SQRT($O$4)</f>
        <v>1.732024260559792</v>
      </c>
      <c r="E646">
        <f>NORMSDIST(Tableau1[[#This Row],[d1]])</f>
        <v>0.99575610991426611</v>
      </c>
      <c r="F646">
        <f>NORMSDIST(Tableau1[[#This Row],[d2]])</f>
        <v>0.95836537850387682</v>
      </c>
      <c r="G646">
        <f>Tableau1[[#This Row],[P]]*Tableau1[[#This Row],[N(d1)]]-$P$4*EXP(-$N$4*$O$4)*Tableau1[[#This Row],[N(d2)]]</f>
        <v>554.6625267765005</v>
      </c>
      <c r="L646">
        <f>MAX(Tableau1[[#This Row],[P]]-$P$4)-Tableau1[[#This Row],[C]]</f>
        <v>-5.6625267765004992</v>
      </c>
      <c r="M646">
        <f xml:space="preserve"> Tableau1[[#This Row],[C]] - 0.5 * (-50) * (Tableau1[[#This Row],[P]] - $P$4)</f>
        <v>14279.662526776501</v>
      </c>
    </row>
    <row r="647" spans="2:13" x14ac:dyDescent="0.3">
      <c r="B647">
        <v>645</v>
      </c>
      <c r="C647">
        <f t="shared" si="10"/>
        <v>2.6337482502169243</v>
      </c>
      <c r="D647">
        <f>Tableau1[[#This Row],[d1]]-$R$4*SQRT($O$4)</f>
        <v>1.7337482502169244</v>
      </c>
      <c r="E647">
        <f>NORMSDIST(Tableau1[[#This Row],[d1]])</f>
        <v>0.99577759617373551</v>
      </c>
      <c r="F647">
        <f>NORMSDIST(Tableau1[[#This Row],[d2]])</f>
        <v>0.95851861934053972</v>
      </c>
      <c r="G647">
        <f>Tableau1[[#This Row],[P]]*Tableau1[[#This Row],[N(d1)]]-$P$4*EXP(-$N$4*$O$4)*Tableau1[[#This Row],[N(d2)]]</f>
        <v>555.65829364044998</v>
      </c>
      <c r="L647">
        <f>MAX(Tableau1[[#This Row],[P]]-$P$4)-Tableau1[[#This Row],[C]]</f>
        <v>-5.6582936404499833</v>
      </c>
      <c r="M647">
        <f xml:space="preserve"> Tableau1[[#This Row],[C]] - 0.5 * (-50) * (Tableau1[[#This Row],[P]] - $P$4)</f>
        <v>14305.65829364045</v>
      </c>
    </row>
    <row r="648" spans="2:13" x14ac:dyDescent="0.3">
      <c r="B648">
        <v>646</v>
      </c>
      <c r="C648">
        <f t="shared" si="10"/>
        <v>2.6354695690911791</v>
      </c>
      <c r="D648">
        <f>Tableau1[[#This Row],[d1]]-$R$4*SQRT($O$4)</f>
        <v>1.7354695690911792</v>
      </c>
      <c r="E648">
        <f>NORMSDIST(Tableau1[[#This Row],[d1]])</f>
        <v>0.99579895203448521</v>
      </c>
      <c r="F648">
        <f>NORMSDIST(Tableau1[[#This Row],[d2]])</f>
        <v>0.9586711664928006</v>
      </c>
      <c r="G648">
        <f>Tableau1[[#This Row],[P]]*Tableau1[[#This Row],[N(d1)]]-$P$4*EXP(-$N$4*$O$4)*Tableau1[[#This Row],[N(d2)]]</f>
        <v>556.65408192538189</v>
      </c>
      <c r="L648">
        <f>MAX(Tableau1[[#This Row],[P]]-$P$4)-Tableau1[[#This Row],[C]]</f>
        <v>-5.6540819253818881</v>
      </c>
      <c r="M648">
        <f xml:space="preserve"> Tableau1[[#This Row],[C]] - 0.5 * (-50) * (Tableau1[[#This Row],[P]] - $P$4)</f>
        <v>14331.654081925382</v>
      </c>
    </row>
    <row r="649" spans="2:13" x14ac:dyDescent="0.3">
      <c r="B649">
        <v>647</v>
      </c>
      <c r="C649">
        <f t="shared" si="10"/>
        <v>2.6371882254448442</v>
      </c>
      <c r="D649">
        <f>Tableau1[[#This Row],[d1]]-$R$4*SQRT($O$4)</f>
        <v>1.7371882254448443</v>
      </c>
      <c r="E649">
        <f>NORMSDIST(Tableau1[[#This Row],[d1]])</f>
        <v>0.99582017842507431</v>
      </c>
      <c r="F649">
        <f>NORMSDIST(Tableau1[[#This Row],[d2]])</f>
        <v>0.95882302371774097</v>
      </c>
      <c r="G649">
        <f>Tableau1[[#This Row],[P]]*Tableau1[[#This Row],[N(d1)]]-$P$4*EXP(-$N$4*$O$4)*Tableau1[[#This Row],[N(d2)]]</f>
        <v>557.64989150136228</v>
      </c>
      <c r="L649">
        <f>MAX(Tableau1[[#This Row],[P]]-$P$4)-Tableau1[[#This Row],[C]]</f>
        <v>-5.6498915013622764</v>
      </c>
      <c r="M649">
        <f xml:space="preserve"> Tableau1[[#This Row],[C]] - 0.5 * (-50) * (Tableau1[[#This Row],[P]] - $P$4)</f>
        <v>14357.649891501362</v>
      </c>
    </row>
    <row r="650" spans="2:13" x14ac:dyDescent="0.3">
      <c r="B650">
        <v>648</v>
      </c>
      <c r="C650">
        <f t="shared" si="10"/>
        <v>2.6389042275019263</v>
      </c>
      <c r="D650">
        <f>Tableau1[[#This Row],[d1]]-$R$4*SQRT($O$4)</f>
        <v>1.7389042275019264</v>
      </c>
      <c r="E650">
        <f>NORMSDIST(Tableau1[[#This Row],[d1]])</f>
        <v>0.99584127626643937</v>
      </c>
      <c r="F650">
        <f>NORMSDIST(Tableau1[[#This Row],[d2]])</f>
        <v>0.95897419474864976</v>
      </c>
      <c r="G650">
        <f>Tableau1[[#This Row],[P]]*Tableau1[[#This Row],[N(d1)]]-$P$4*EXP(-$N$4*$O$4)*Tableau1[[#This Row],[N(d2)]]</f>
        <v>558.64572223938228</v>
      </c>
      <c r="L650">
        <f>MAX(Tableau1[[#This Row],[P]]-$P$4)-Tableau1[[#This Row],[C]]</f>
        <v>-5.6457222393822803</v>
      </c>
      <c r="M650">
        <f xml:space="preserve"> Tableau1[[#This Row],[C]] - 0.5 * (-50) * (Tableau1[[#This Row],[P]] - $P$4)</f>
        <v>14383.645722239382</v>
      </c>
    </row>
    <row r="651" spans="2:13" x14ac:dyDescent="0.3">
      <c r="B651">
        <v>649</v>
      </c>
      <c r="C651">
        <f t="shared" si="10"/>
        <v>2.640617583448388</v>
      </c>
      <c r="D651">
        <f>Tableau1[[#This Row],[d1]]-$R$4*SQRT($O$4)</f>
        <v>1.7406175834483881</v>
      </c>
      <c r="E651">
        <f>NORMSDIST(Tableau1[[#This Row],[d1]])</f>
        <v>0.99586224647196497</v>
      </c>
      <c r="F651">
        <f>NORMSDIST(Tableau1[[#This Row],[d2]])</f>
        <v>0.95912468329519596</v>
      </c>
      <c r="G651">
        <f>Tableau1[[#This Row],[P]]*Tableau1[[#This Row],[N(d1)]]-$P$4*EXP(-$N$4*$O$4)*Tableau1[[#This Row],[N(d2)]]</f>
        <v>559.64157401135003</v>
      </c>
      <c r="L651">
        <f>MAX(Tableau1[[#This Row],[P]]-$P$4)-Tableau1[[#This Row],[C]]</f>
        <v>-5.6415740113500306</v>
      </c>
      <c r="M651">
        <f xml:space="preserve"> Tableau1[[#This Row],[C]] - 0.5 * (-50) * (Tableau1[[#This Row],[P]] - $P$4)</f>
        <v>14409.64157401135</v>
      </c>
    </row>
    <row r="652" spans="2:13" x14ac:dyDescent="0.3">
      <c r="B652">
        <v>650</v>
      </c>
      <c r="C652">
        <f t="shared" si="10"/>
        <v>2.64232830143238</v>
      </c>
      <c r="D652">
        <f>Tableau1[[#This Row],[d1]]-$R$4*SQRT($O$4)</f>
        <v>1.74232830143238</v>
      </c>
      <c r="E652">
        <f>NORMSDIST(Tableau1[[#This Row],[d1]])</f>
        <v>0.99588308994755448</v>
      </c>
      <c r="F652">
        <f>NORMSDIST(Tableau1[[#This Row],[d2]])</f>
        <v>0.95927449304359991</v>
      </c>
      <c r="G652">
        <f>Tableau1[[#This Row],[P]]*Tableau1[[#This Row],[N(d1)]]-$P$4*EXP(-$N$4*$O$4)*Tableau1[[#This Row],[N(d2)]]</f>
        <v>560.63744669008304</v>
      </c>
      <c r="L652">
        <f>MAX(Tableau1[[#This Row],[P]]-$P$4)-Tableau1[[#This Row],[C]]</f>
        <v>-5.6374466900830384</v>
      </c>
      <c r="M652">
        <f xml:space="preserve"> Tableau1[[#This Row],[C]] - 0.5 * (-50) * (Tableau1[[#This Row],[P]] - $P$4)</f>
        <v>14435.637446690083</v>
      </c>
    </row>
    <row r="653" spans="2:13" x14ac:dyDescent="0.3">
      <c r="B653">
        <v>651</v>
      </c>
      <c r="C653">
        <f t="shared" si="10"/>
        <v>2.6440363895644761</v>
      </c>
      <c r="D653">
        <f>Tableau1[[#This Row],[d1]]-$R$4*SQRT($O$4)</f>
        <v>1.7440363895644762</v>
      </c>
      <c r="E653">
        <f>NORMSDIST(Tableau1[[#This Row],[d1]])</f>
        <v>0.9959038075916995</v>
      </c>
      <c r="F653">
        <f>NORMSDIST(Tableau1[[#This Row],[d2]])</f>
        <v>0.95942362765680356</v>
      </c>
      <c r="G653">
        <f>Tableau1[[#This Row],[P]]*Tableau1[[#This Row],[N(d1)]]-$P$4*EXP(-$N$4*$O$4)*Tableau1[[#This Row],[N(d2)]]</f>
        <v>561.63334014930138</v>
      </c>
      <c r="L653">
        <f>MAX(Tableau1[[#This Row],[P]]-$P$4)-Tableau1[[#This Row],[C]]</f>
        <v>-5.6333401493013753</v>
      </c>
      <c r="M653">
        <f xml:space="preserve"> Tableau1[[#This Row],[C]] - 0.5 * (-50) * (Tableau1[[#This Row],[P]] - $P$4)</f>
        <v>14461.633340149301</v>
      </c>
    </row>
    <row r="654" spans="2:13" x14ac:dyDescent="0.3">
      <c r="B654">
        <v>652</v>
      </c>
      <c r="C654">
        <f t="shared" si="10"/>
        <v>2.645741855917902</v>
      </c>
      <c r="D654">
        <f>Tableau1[[#This Row],[d1]]-$R$4*SQRT($O$4)</f>
        <v>1.7457418559179021</v>
      </c>
      <c r="E654">
        <f>NORMSDIST(Tableau1[[#This Row],[d1]])</f>
        <v>0.99592440029554874</v>
      </c>
      <c r="F654">
        <f>NORMSDIST(Tableau1[[#This Row],[d2]])</f>
        <v>0.95957209077463856</v>
      </c>
      <c r="G654">
        <f>Tableau1[[#This Row],[P]]*Tableau1[[#This Row],[N(d1)]]-$P$4*EXP(-$N$4*$O$4)*Tableau1[[#This Row],[N(d2)]]</f>
        <v>562.62925426361971</v>
      </c>
      <c r="L654">
        <f>MAX(Tableau1[[#This Row],[P]]-$P$4)-Tableau1[[#This Row],[C]]</f>
        <v>-5.629254263619714</v>
      </c>
      <c r="M654">
        <f xml:space="preserve"> Tableau1[[#This Row],[C]] - 0.5 * (-50) * (Tableau1[[#This Row],[P]] - $P$4)</f>
        <v>14487.62925426362</v>
      </c>
    </row>
    <row r="655" spans="2:13" x14ac:dyDescent="0.3">
      <c r="B655">
        <v>653</v>
      </c>
      <c r="C655">
        <f t="shared" si="10"/>
        <v>2.6474447085287669</v>
      </c>
      <c r="D655">
        <f>Tableau1[[#This Row],[d1]]-$R$4*SQRT($O$4)</f>
        <v>1.747444708528767</v>
      </c>
      <c r="E655">
        <f>NORMSDIST(Tableau1[[#This Row],[d1]])</f>
        <v>0.99594486894297651</v>
      </c>
      <c r="F655">
        <f>NORMSDIST(Tableau1[[#This Row],[d2]])</f>
        <v>0.95971988601399416</v>
      </c>
      <c r="G655">
        <f>Tableau1[[#This Row],[P]]*Tableau1[[#This Row],[N(d1)]]-$P$4*EXP(-$N$4*$O$4)*Tableau1[[#This Row],[N(d2)]]</f>
        <v>563.62518890854028</v>
      </c>
      <c r="L655">
        <f>MAX(Tableau1[[#This Row],[P]]-$P$4)-Tableau1[[#This Row],[C]]</f>
        <v>-5.6251889085402809</v>
      </c>
      <c r="M655">
        <f xml:space="preserve"> Tableau1[[#This Row],[C]] - 0.5 * (-50) * (Tableau1[[#This Row],[P]] - $P$4)</f>
        <v>14513.62518890854</v>
      </c>
    </row>
    <row r="656" spans="2:13" x14ac:dyDescent="0.3">
      <c r="B656">
        <v>654</v>
      </c>
      <c r="C656">
        <f t="shared" si="10"/>
        <v>2.6491449553962862</v>
      </c>
      <c r="D656">
        <f>Tableau1[[#This Row],[d1]]-$R$4*SQRT($O$4)</f>
        <v>1.7491449553962863</v>
      </c>
      <c r="E656">
        <f>NORMSDIST(Tableau1[[#This Row],[d1]])</f>
        <v>0.99596521441064967</v>
      </c>
      <c r="F656">
        <f>NORMSDIST(Tableau1[[#This Row],[d2]])</f>
        <v>0.95986701696898191</v>
      </c>
      <c r="G656">
        <f>Tableau1[[#This Row],[P]]*Tableau1[[#This Row],[N(d1)]]-$P$4*EXP(-$N$4*$O$4)*Tableau1[[#This Row],[N(d2)]]</f>
        <v>564.62114396044581</v>
      </c>
      <c r="L656">
        <f>MAX(Tableau1[[#This Row],[P]]-$P$4)-Tableau1[[#This Row],[C]]</f>
        <v>-5.6211439604458064</v>
      </c>
      <c r="M656">
        <f xml:space="preserve"> Tableau1[[#This Row],[C]] - 0.5 * (-50) * (Tableau1[[#This Row],[P]] - $P$4)</f>
        <v>14539.621143960445</v>
      </c>
    </row>
    <row r="657" spans="2:13" x14ac:dyDescent="0.3">
      <c r="B657">
        <v>655</v>
      </c>
      <c r="C657">
        <f t="shared" si="10"/>
        <v>2.650842604483012</v>
      </c>
      <c r="D657">
        <f>Tableau1[[#This Row],[d1]]-$R$4*SQRT($O$4)</f>
        <v>1.7508426044830121</v>
      </c>
      <c r="E657">
        <f>NORMSDIST(Tableau1[[#This Row],[d1]])</f>
        <v>0.99598543756809454</v>
      </c>
      <c r="F657">
        <f>NORMSDIST(Tableau1[[#This Row],[d2]])</f>
        <v>0.96001348721110136</v>
      </c>
      <c r="G657">
        <f>Tableau1[[#This Row],[P]]*Tableau1[[#This Row],[N(d1)]]-$P$4*EXP(-$N$4*$O$4)*Tableau1[[#This Row],[N(d2)]]</f>
        <v>565.61711929659168</v>
      </c>
      <c r="L657">
        <f>MAX(Tableau1[[#This Row],[P]]-$P$4)-Tableau1[[#This Row],[C]]</f>
        <v>-5.6171192965916816</v>
      </c>
      <c r="M657">
        <f xml:space="preserve"> Tableau1[[#This Row],[C]] - 0.5 * (-50) * (Tableau1[[#This Row],[P]] - $P$4)</f>
        <v>14565.617119296592</v>
      </c>
    </row>
    <row r="658" spans="2:13" x14ac:dyDescent="0.3">
      <c r="B658">
        <v>656</v>
      </c>
      <c r="C658">
        <f t="shared" si="10"/>
        <v>2.6525376637150537</v>
      </c>
      <c r="D658">
        <f>Tableau1[[#This Row],[d1]]-$R$4*SQRT($O$4)</f>
        <v>1.7525376637150538</v>
      </c>
      <c r="E658">
        <f>NORMSDIST(Tableau1[[#This Row],[d1]])</f>
        <v>0.99600553927776314</v>
      </c>
      <c r="F658">
        <f>NORMSDIST(Tableau1[[#This Row],[d2]])</f>
        <v>0.96015930028940233</v>
      </c>
      <c r="G658">
        <f>Tableau1[[#This Row],[P]]*Tableau1[[#This Row],[N(d1)]]-$P$4*EXP(-$N$4*$O$4)*Tableau1[[#This Row],[N(d2)]]</f>
        <v>566.61311479509936</v>
      </c>
      <c r="L658">
        <f>MAX(Tableau1[[#This Row],[P]]-$P$4)-Tableau1[[#This Row],[C]]</f>
        <v>-5.6131147950993636</v>
      </c>
      <c r="M658">
        <f xml:space="preserve"> Tableau1[[#This Row],[C]] - 0.5 * (-50) * (Tableau1[[#This Row],[P]] - $P$4)</f>
        <v>14591.6131147951</v>
      </c>
    </row>
    <row r="659" spans="2:13" x14ac:dyDescent="0.3">
      <c r="B659">
        <v>657</v>
      </c>
      <c r="C659">
        <f t="shared" si="10"/>
        <v>2.6542301409822997</v>
      </c>
      <c r="D659">
        <f>Tableau1[[#This Row],[d1]]-$R$4*SQRT($O$4)</f>
        <v>1.7542301409822998</v>
      </c>
      <c r="E659">
        <f>NORMSDIST(Tableau1[[#This Row],[d1]])</f>
        <v>0.99602552039509862</v>
      </c>
      <c r="F659">
        <f>NORMSDIST(Tableau1[[#This Row],[d2]])</f>
        <v>0.96030445973064704</v>
      </c>
      <c r="G659">
        <f>Tableau1[[#This Row],[P]]*Tableau1[[#This Row],[N(d1)]]-$P$4*EXP(-$N$4*$O$4)*Tableau1[[#This Row],[N(d2)]]</f>
        <v>567.60913033494978</v>
      </c>
      <c r="L659">
        <f>MAX(Tableau1[[#This Row],[P]]-$P$4)-Tableau1[[#This Row],[C]]</f>
        <v>-5.6091303349497821</v>
      </c>
      <c r="M659">
        <f xml:space="preserve"> Tableau1[[#This Row],[C]] - 0.5 * (-50) * (Tableau1[[#This Row],[P]] - $P$4)</f>
        <v>14617.609130334949</v>
      </c>
    </row>
    <row r="660" spans="2:13" x14ac:dyDescent="0.3">
      <c r="B660">
        <v>658</v>
      </c>
      <c r="C660">
        <f t="shared" si="10"/>
        <v>2.6559200441386399</v>
      </c>
      <c r="D660">
        <f>Tableau1[[#This Row],[d1]]-$R$4*SQRT($O$4)</f>
        <v>1.75592004413864</v>
      </c>
      <c r="E660">
        <f>NORMSDIST(Tableau1[[#This Row],[d1]])</f>
        <v>0.99604538176859958</v>
      </c>
      <c r="F660">
        <f>NORMSDIST(Tableau1[[#This Row],[d2]])</f>
        <v>0.96044896903947052</v>
      </c>
      <c r="G660">
        <f>Tableau1[[#This Row],[P]]*Tableau1[[#This Row],[N(d1)]]-$P$4*EXP(-$N$4*$O$4)*Tableau1[[#This Row],[N(d2)]]</f>
        <v>568.60516579597515</v>
      </c>
      <c r="L660">
        <f>MAX(Tableau1[[#This Row],[P]]-$P$4)-Tableau1[[#This Row],[C]]</f>
        <v>-5.6051657959751537</v>
      </c>
      <c r="M660">
        <f xml:space="preserve"> Tableau1[[#This Row],[C]] - 0.5 * (-50) * (Tableau1[[#This Row],[P]] - $P$4)</f>
        <v>14643.605165795976</v>
      </c>
    </row>
    <row r="661" spans="2:13" x14ac:dyDescent="0.3">
      <c r="B661">
        <v>659</v>
      </c>
      <c r="C661">
        <f t="shared" si="10"/>
        <v>2.657607381002185</v>
      </c>
      <c r="D661">
        <f>Tableau1[[#This Row],[d1]]-$R$4*SQRT($O$4)</f>
        <v>1.7576073810021851</v>
      </c>
      <c r="E661">
        <f>NORMSDIST(Tableau1[[#This Row],[d1]])</f>
        <v>0.99606512423988436</v>
      </c>
      <c r="F661">
        <f>NORMSDIST(Tableau1[[#This Row],[d2]])</f>
        <v>0.96059283169853993</v>
      </c>
      <c r="G661">
        <f>Tableau1[[#This Row],[P]]*Tableau1[[#This Row],[N(d1)]]-$P$4*EXP(-$N$4*$O$4)*Tableau1[[#This Row],[N(d2)]]</f>
        <v>569.60122105885307</v>
      </c>
      <c r="L661">
        <f>MAX(Tableau1[[#This Row],[P]]-$P$4)-Tableau1[[#This Row],[C]]</f>
        <v>-5.6012210588530706</v>
      </c>
      <c r="M661">
        <f xml:space="preserve"> Tableau1[[#This Row],[C]] - 0.5 * (-50) * (Tableau1[[#This Row],[P]] - $P$4)</f>
        <v>14669.601221058852</v>
      </c>
    </row>
    <row r="662" spans="2:13" x14ac:dyDescent="0.3">
      <c r="B662">
        <v>660</v>
      </c>
      <c r="C662">
        <f t="shared" si="10"/>
        <v>2.6592921593554784</v>
      </c>
      <c r="D662">
        <f>Tableau1[[#This Row],[d1]]-$R$4*SQRT($O$4)</f>
        <v>1.7592921593554784</v>
      </c>
      <c r="E662">
        <f>NORMSDIST(Tableau1[[#This Row],[d1]])</f>
        <v>0.99608474864375451</v>
      </c>
      <c r="F662">
        <f>NORMSDIST(Tableau1[[#This Row],[d2]])</f>
        <v>0.96073605116871219</v>
      </c>
      <c r="G662">
        <f>Tableau1[[#This Row],[P]]*Tableau1[[#This Row],[N(d1)]]-$P$4*EXP(-$N$4*$O$4)*Tableau1[[#This Row],[N(d2)]]</f>
        <v>570.59729600509922</v>
      </c>
      <c r="L662">
        <f>MAX(Tableau1[[#This Row],[P]]-$P$4)-Tableau1[[#This Row],[C]]</f>
        <v>-5.5972960050992242</v>
      </c>
      <c r="M662">
        <f xml:space="preserve"> Tableau1[[#This Row],[C]] - 0.5 * (-50) * (Tableau1[[#This Row],[P]] - $P$4)</f>
        <v>14695.597296005099</v>
      </c>
    </row>
    <row r="663" spans="2:13" x14ac:dyDescent="0.3">
      <c r="B663">
        <v>661</v>
      </c>
      <c r="C663">
        <f t="shared" si="10"/>
        <v>2.6609743869457172</v>
      </c>
      <c r="D663">
        <f>Tableau1[[#This Row],[d1]]-$R$4*SQRT($O$4)</f>
        <v>1.7609743869457173</v>
      </c>
      <c r="E663">
        <f>NORMSDIST(Tableau1[[#This Row],[d1]])</f>
        <v>0.99610425580825712</v>
      </c>
      <c r="F663">
        <f>NORMSDIST(Tableau1[[#This Row],[d2]])</f>
        <v>0.96087863088919079</v>
      </c>
      <c r="G663">
        <f>Tableau1[[#This Row],[P]]*Tableau1[[#This Row],[N(d1)]]-$P$4*EXP(-$N$4*$O$4)*Tableau1[[#This Row],[N(d2)]]</f>
        <v>571.59339051706093</v>
      </c>
      <c r="L663">
        <f>MAX(Tableau1[[#This Row],[P]]-$P$4)-Tableau1[[#This Row],[C]]</f>
        <v>-5.593390517060925</v>
      </c>
      <c r="M663">
        <f xml:space="preserve"> Tableau1[[#This Row],[C]] - 0.5 * (-50) * (Tableau1[[#This Row],[P]] - $P$4)</f>
        <v>14721.59339051706</v>
      </c>
    </row>
    <row r="664" spans="2:13" x14ac:dyDescent="0.3">
      <c r="B664">
        <v>662</v>
      </c>
      <c r="C664">
        <f t="shared" si="10"/>
        <v>2.662654071484964</v>
      </c>
      <c r="D664">
        <f>Tableau1[[#This Row],[d1]]-$R$4*SQRT($O$4)</f>
        <v>1.7626540714849641</v>
      </c>
      <c r="E664">
        <f>NORMSDIST(Tableau1[[#This Row],[d1]])</f>
        <v>0.99612364655474728</v>
      </c>
      <c r="F664">
        <f>NORMSDIST(Tableau1[[#This Row],[d2]])</f>
        <v>0.96102057427768106</v>
      </c>
      <c r="G664">
        <f>Tableau1[[#This Row],[P]]*Tableau1[[#This Row],[N(d1)]]-$P$4*EXP(-$N$4*$O$4)*Tableau1[[#This Row],[N(d2)]]</f>
        <v>572.58950447790983</v>
      </c>
      <c r="L664">
        <f>MAX(Tableau1[[#This Row],[P]]-$P$4)-Tableau1[[#This Row],[C]]</f>
        <v>-5.5895044779098271</v>
      </c>
      <c r="M664">
        <f xml:space="preserve"> Tableau1[[#This Row],[C]] - 0.5 * (-50) * (Tableau1[[#This Row],[P]] - $P$4)</f>
        <v>14747.58950447791</v>
      </c>
    </row>
    <row r="665" spans="2:13" x14ac:dyDescent="0.3">
      <c r="B665">
        <v>663</v>
      </c>
      <c r="C665">
        <f t="shared" si="10"/>
        <v>2.6643312206503573</v>
      </c>
      <c r="D665">
        <f>Tableau1[[#This Row],[d1]]-$R$4*SQRT($O$4)</f>
        <v>1.7643312206503574</v>
      </c>
      <c r="E665">
        <f>NORMSDIST(Tableau1[[#This Row],[d1]])</f>
        <v>0.99614292169794927</v>
      </c>
      <c r="F665">
        <f>NORMSDIST(Tableau1[[#This Row],[d2]])</f>
        <v>0.9611618847305442</v>
      </c>
      <c r="G665">
        <f>Tableau1[[#This Row],[P]]*Tableau1[[#This Row],[N(d1)]]-$P$4*EXP(-$N$4*$O$4)*Tableau1[[#This Row],[N(d2)]]</f>
        <v>573.5856377716359</v>
      </c>
      <c r="L665">
        <f>MAX(Tableau1[[#This Row],[P]]-$P$4)-Tableau1[[#This Row],[C]]</f>
        <v>-5.585637771635902</v>
      </c>
      <c r="M665">
        <f xml:space="preserve"> Tableau1[[#This Row],[C]] - 0.5 * (-50) * (Tableau1[[#This Row],[P]] - $P$4)</f>
        <v>14773.585637771635</v>
      </c>
    </row>
    <row r="666" spans="2:13" x14ac:dyDescent="0.3">
      <c r="B666">
        <v>664</v>
      </c>
      <c r="C666">
        <f t="shared" si="10"/>
        <v>2.6660058420843256</v>
      </c>
      <c r="D666">
        <f>Tableau1[[#This Row],[d1]]-$R$4*SQRT($O$4)</f>
        <v>1.7660058420843256</v>
      </c>
      <c r="E666">
        <f>NORMSDIST(Tableau1[[#This Row],[d1]])</f>
        <v>0.99616208204601764</v>
      </c>
      <c r="F666">
        <f>NORMSDIST(Tableau1[[#This Row],[d2]])</f>
        <v>0.96130256562295036</v>
      </c>
      <c r="G666">
        <f>Tableau1[[#This Row],[P]]*Tableau1[[#This Row],[N(d1)]]-$P$4*EXP(-$N$4*$O$4)*Tableau1[[#This Row],[N(d2)]]</f>
        <v>574.58179028304073</v>
      </c>
      <c r="L666">
        <f>MAX(Tableau1[[#This Row],[P]]-$P$4)-Tableau1[[#This Row],[C]]</f>
        <v>-5.581790283040732</v>
      </c>
      <c r="M666">
        <f xml:space="preserve"> Tableau1[[#This Row],[C]] - 0.5 * (-50) * (Tableau1[[#This Row],[P]] - $P$4)</f>
        <v>14799.58179028304</v>
      </c>
    </row>
    <row r="667" spans="2:13" x14ac:dyDescent="0.3">
      <c r="B667">
        <v>665</v>
      </c>
      <c r="C667">
        <f t="shared" si="10"/>
        <v>2.6676779433947924</v>
      </c>
      <c r="D667">
        <f>Tableau1[[#This Row],[d1]]-$R$4*SQRT($O$4)</f>
        <v>1.7676779433947925</v>
      </c>
      <c r="E667">
        <f>NORMSDIST(Tableau1[[#This Row],[d1]])</f>
        <v>0.9961811284005968</v>
      </c>
      <c r="F667">
        <f>NORMSDIST(Tableau1[[#This Row],[d2]])</f>
        <v>0.96144262030903005</v>
      </c>
      <c r="G667">
        <f>Tableau1[[#This Row],[P]]*Tableau1[[#This Row],[N(d1)]]-$P$4*EXP(-$N$4*$O$4)*Tableau1[[#This Row],[N(d2)]]</f>
        <v>575.57796189773035</v>
      </c>
      <c r="L667">
        <f>MAX(Tableau1[[#This Row],[P]]-$P$4)-Tableau1[[#This Row],[C]]</f>
        <v>-5.5779618977303471</v>
      </c>
      <c r="M667">
        <f xml:space="preserve"> Tableau1[[#This Row],[C]] - 0.5 * (-50) * (Tableau1[[#This Row],[P]] - $P$4)</f>
        <v>14825.57796189773</v>
      </c>
    </row>
    <row r="668" spans="2:13" x14ac:dyDescent="0.3">
      <c r="B668">
        <v>666</v>
      </c>
      <c r="C668">
        <f t="shared" si="10"/>
        <v>2.669347532155387</v>
      </c>
      <c r="D668">
        <f>Tableau1[[#This Row],[d1]]-$R$4*SQRT($O$4)</f>
        <v>1.7693475321553871</v>
      </c>
      <c r="E668">
        <f>NORMSDIST(Tableau1[[#This Row],[d1]])</f>
        <v>0.99620006155688112</v>
      </c>
      <c r="F668">
        <f>NORMSDIST(Tableau1[[#This Row],[d2]])</f>
        <v>0.96158205212202441</v>
      </c>
      <c r="G668">
        <f>Tableau1[[#This Row],[P]]*Tableau1[[#This Row],[N(d1)]]-$P$4*EXP(-$N$4*$O$4)*Tableau1[[#This Row],[N(d2)]]</f>
        <v>576.5741525021092</v>
      </c>
      <c r="L668">
        <f>MAX(Tableau1[[#This Row],[P]]-$P$4)-Tableau1[[#This Row],[C]]</f>
        <v>-5.5741525021092002</v>
      </c>
      <c r="M668">
        <f xml:space="preserve"> Tableau1[[#This Row],[C]] - 0.5 * (-50) * (Tableau1[[#This Row],[P]] - $P$4)</f>
        <v>14851.574152502109</v>
      </c>
    </row>
    <row r="669" spans="2:13" x14ac:dyDescent="0.3">
      <c r="B669">
        <v>667</v>
      </c>
      <c r="C669">
        <f t="shared" si="10"/>
        <v>2.6710146159056474</v>
      </c>
      <c r="D669">
        <f>Tableau1[[#This Row],[d1]]-$R$4*SQRT($O$4)</f>
        <v>1.7710146159056475</v>
      </c>
      <c r="E669">
        <f>NORMSDIST(Tableau1[[#This Row],[d1]])</f>
        <v>0.99621888230367373</v>
      </c>
      <c r="F669">
        <f>NORMSDIST(Tableau1[[#This Row],[d2]])</f>
        <v>0.9617208643744346</v>
      </c>
      <c r="G669">
        <f>Tableau1[[#This Row],[P]]*Tableau1[[#This Row],[N(d1)]]-$P$4*EXP(-$N$4*$O$4)*Tableau1[[#This Row],[N(d2)]]</f>
        <v>577.57036198337426</v>
      </c>
      <c r="L669">
        <f>MAX(Tableau1[[#This Row],[P]]-$P$4)-Tableau1[[#This Row],[C]]</f>
        <v>-5.570361983374255</v>
      </c>
      <c r="M669">
        <f xml:space="preserve"> Tableau1[[#This Row],[C]] - 0.5 * (-50) * (Tableau1[[#This Row],[P]] - $P$4)</f>
        <v>14877.570361983375</v>
      </c>
    </row>
    <row r="670" spans="2:13" x14ac:dyDescent="0.3">
      <c r="B670">
        <v>668</v>
      </c>
      <c r="C670">
        <f t="shared" si="10"/>
        <v>2.6726792021512273</v>
      </c>
      <c r="D670">
        <f>Tableau1[[#This Row],[d1]]-$R$4*SQRT($O$4)</f>
        <v>1.7726792021512274</v>
      </c>
      <c r="E670">
        <f>NORMSDIST(Tableau1[[#This Row],[d1]])</f>
        <v>0.9962375914234447</v>
      </c>
      <c r="F670">
        <f>NORMSDIST(Tableau1[[#This Row],[d2]])</f>
        <v>0.96185906035816982</v>
      </c>
      <c r="G670">
        <f>Tableau1[[#This Row],[P]]*Tableau1[[#This Row],[N(d1)]]-$P$4*EXP(-$N$4*$O$4)*Tableau1[[#This Row],[N(d2)]]</f>
        <v>578.5665902295076</v>
      </c>
      <c r="L670">
        <f>MAX(Tableau1[[#This Row],[P]]-$P$4)-Tableau1[[#This Row],[C]]</f>
        <v>-5.5665902295075966</v>
      </c>
      <c r="M670">
        <f xml:space="preserve"> Tableau1[[#This Row],[C]] - 0.5 * (-50) * (Tableau1[[#This Row],[P]] - $P$4)</f>
        <v>14903.566590229508</v>
      </c>
    </row>
    <row r="671" spans="2:13" x14ac:dyDescent="0.3">
      <c r="B671">
        <v>669</v>
      </c>
      <c r="C671">
        <f t="shared" si="10"/>
        <v>2.6743412983640975</v>
      </c>
      <c r="D671">
        <f>Tableau1[[#This Row],[d1]]-$R$4*SQRT($O$4)</f>
        <v>1.7743412983640976</v>
      </c>
      <c r="E671">
        <f>NORMSDIST(Tableau1[[#This Row],[d1]])</f>
        <v>0.99625618969238883</v>
      </c>
      <c r="F671">
        <f>NORMSDIST(Tableau1[[#This Row],[d2]])</f>
        <v>0.96199664334469392</v>
      </c>
      <c r="G671">
        <f>Tableau1[[#This Row],[P]]*Tableau1[[#This Row],[N(d1)]]-$P$4*EXP(-$N$4*$O$4)*Tableau1[[#This Row],[N(d2)]]</f>
        <v>579.56283712927086</v>
      </c>
      <c r="L671">
        <f>MAX(Tableau1[[#This Row],[P]]-$P$4)-Tableau1[[#This Row],[C]]</f>
        <v>-5.5628371292708607</v>
      </c>
      <c r="M671">
        <f xml:space="preserve"> Tableau1[[#This Row],[C]] - 0.5 * (-50) * (Tableau1[[#This Row],[P]] - $P$4)</f>
        <v>14929.562837129271</v>
      </c>
    </row>
    <row r="672" spans="2:13" x14ac:dyDescent="0.3">
      <c r="B672">
        <v>670</v>
      </c>
      <c r="C672">
        <f t="shared" si="10"/>
        <v>2.6760009119827455</v>
      </c>
      <c r="D672">
        <f>Tableau1[[#This Row],[d1]]-$R$4*SQRT($O$4)</f>
        <v>1.7760009119827456</v>
      </c>
      <c r="E672">
        <f>NORMSDIST(Tableau1[[#This Row],[d1]])</f>
        <v>0.99627467788048296</v>
      </c>
      <c r="F672">
        <f>NORMSDIST(Tableau1[[#This Row],[d2]])</f>
        <v>0.96213361658517071</v>
      </c>
      <c r="G672">
        <f>Tableau1[[#This Row],[P]]*Tableau1[[#This Row],[N(d1)]]-$P$4*EXP(-$N$4*$O$4)*Tableau1[[#This Row],[N(d2)]]</f>
        <v>580.55910257219887</v>
      </c>
      <c r="L672">
        <f>MAX(Tableau1[[#This Row],[P]]-$P$4)-Tableau1[[#This Row],[C]]</f>
        <v>-5.5591025721988672</v>
      </c>
      <c r="M672">
        <f xml:space="preserve"> Tableau1[[#This Row],[C]] - 0.5 * (-50) * (Tableau1[[#This Row],[P]] - $P$4)</f>
        <v>14955.559102572199</v>
      </c>
    </row>
    <row r="673" spans="2:13" x14ac:dyDescent="0.3">
      <c r="B673">
        <v>671</v>
      </c>
      <c r="C673">
        <f t="shared" si="10"/>
        <v>2.6776580504123788</v>
      </c>
      <c r="D673">
        <f>Tableau1[[#This Row],[d1]]-$R$4*SQRT($O$4)</f>
        <v>1.7776580504123789</v>
      </c>
      <c r="E673">
        <f>NORMSDIST(Tableau1[[#This Row],[d1]])</f>
        <v>0.99629305675154234</v>
      </c>
      <c r="F673">
        <f>NORMSDIST(Tableau1[[#This Row],[d2]])</f>
        <v>0.96226998331060942</v>
      </c>
      <c r="G673">
        <f>Tableau1[[#This Row],[P]]*Tableau1[[#This Row],[N(d1)]]-$P$4*EXP(-$N$4*$O$4)*Tableau1[[#This Row],[N(d2)]]</f>
        <v>581.55538644859291</v>
      </c>
      <c r="L673">
        <f>MAX(Tableau1[[#This Row],[P]]-$P$4)-Tableau1[[#This Row],[C]]</f>
        <v>-5.5553864485929125</v>
      </c>
      <c r="M673">
        <f xml:space="preserve"> Tableau1[[#This Row],[C]] - 0.5 * (-50) * (Tableau1[[#This Row],[P]] - $P$4)</f>
        <v>14981.555386448594</v>
      </c>
    </row>
    <row r="674" spans="2:13" x14ac:dyDescent="0.3">
      <c r="B674">
        <v>672</v>
      </c>
      <c r="C674">
        <f t="shared" si="10"/>
        <v>2.6793127210251204</v>
      </c>
      <c r="D674">
        <f>Tableau1[[#This Row],[d1]]-$R$4*SQRT($O$4)</f>
        <v>1.7793127210251205</v>
      </c>
      <c r="E674">
        <f>NORMSDIST(Tableau1[[#This Row],[d1]])</f>
        <v>0.99631132706327663</v>
      </c>
      <c r="F674">
        <f>NORMSDIST(Tableau1[[#This Row],[d2]])</f>
        <v>0.96240574673200652</v>
      </c>
      <c r="G674">
        <f>Tableau1[[#This Row],[P]]*Tableau1[[#This Row],[N(d1)]]-$P$4*EXP(-$N$4*$O$4)*Tableau1[[#This Row],[N(d2)]]</f>
        <v>582.55168864951565</v>
      </c>
      <c r="L674">
        <f>MAX(Tableau1[[#This Row],[P]]-$P$4)-Tableau1[[#This Row],[C]]</f>
        <v>-5.5516886495156541</v>
      </c>
      <c r="M674">
        <f xml:space="preserve"> Tableau1[[#This Row],[C]] - 0.5 * (-50) * (Tableau1[[#This Row],[P]] - $P$4)</f>
        <v>15007.551688649515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Robard</dc:creator>
  <cp:lastModifiedBy>Matteo Dabout</cp:lastModifiedBy>
  <dcterms:created xsi:type="dcterms:W3CDTF">2025-10-02T09:02:32Z</dcterms:created>
  <dcterms:modified xsi:type="dcterms:W3CDTF">2025-10-02T10:30:03Z</dcterms:modified>
</cp:coreProperties>
</file>