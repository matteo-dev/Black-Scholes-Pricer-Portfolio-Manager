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ING4_S1\Option\"/>
    </mc:Choice>
  </mc:AlternateContent>
  <xr:revisionPtr revIDLastSave="0" documentId="13_ncr:1_{D5DF7960-9C34-42DA-96EF-14F89B983E4B}" xr6:coauthVersionLast="36" xr6:coauthVersionMax="36" xr10:uidLastSave="{00000000-0000-0000-0000-000000000000}"/>
  <bookViews>
    <workbookView xWindow="0" yWindow="0" windowWidth="23040" windowHeight="8484" xr2:uid="{F39CD56A-505D-4484-91D9-2B7730A52922}"/>
  </bookViews>
  <sheets>
    <sheet name="Profil Action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B8" i="1"/>
  <c r="B6" i="1" l="1"/>
  <c r="B5" i="1" l="1"/>
  <c r="C5" i="1" s="1"/>
  <c r="E5" i="1" s="1"/>
  <c r="C6" i="1"/>
  <c r="E6" i="1" s="1"/>
  <c r="B7" i="1"/>
  <c r="C7" i="1" s="1"/>
  <c r="B9" i="1"/>
  <c r="C9" i="1" s="1"/>
  <c r="E9" i="1" s="1"/>
  <c r="B10" i="1"/>
  <c r="D10" i="1" s="1"/>
  <c r="B11" i="1"/>
  <c r="C11" i="1" s="1"/>
  <c r="E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C17" i="1" s="1"/>
  <c r="E17" i="1" s="1"/>
  <c r="B18" i="1"/>
  <c r="C18" i="1" s="1"/>
  <c r="E18" i="1" s="1"/>
  <c r="B19" i="1"/>
  <c r="B20" i="1"/>
  <c r="B21" i="1"/>
  <c r="C21" i="1" s="1"/>
  <c r="E21" i="1" s="1"/>
  <c r="B22" i="1"/>
  <c r="C22" i="1" s="1"/>
  <c r="E22" i="1" s="1"/>
  <c r="B23" i="1"/>
  <c r="C23" i="1" s="1"/>
  <c r="E23" i="1" s="1"/>
  <c r="B24" i="1"/>
  <c r="C24" i="1" s="1"/>
  <c r="E24" i="1" s="1"/>
  <c r="B25" i="1"/>
  <c r="D25" i="1" s="1"/>
  <c r="B26" i="1"/>
  <c r="D26" i="1" s="1"/>
  <c r="B27" i="1"/>
  <c r="D27" i="1" s="1"/>
  <c r="B28" i="1"/>
  <c r="D28" i="1" s="1"/>
  <c r="B29" i="1"/>
  <c r="C29" i="1" s="1"/>
  <c r="E29" i="1" s="1"/>
  <c r="B30" i="1"/>
  <c r="C30" i="1" s="1"/>
  <c r="E30" i="1" s="1"/>
  <c r="B31" i="1"/>
  <c r="B32" i="1"/>
  <c r="B33" i="1"/>
  <c r="C33" i="1" s="1"/>
  <c r="E33" i="1" s="1"/>
  <c r="B34" i="1"/>
  <c r="C34" i="1" s="1"/>
  <c r="E34" i="1" s="1"/>
  <c r="B35" i="1"/>
  <c r="C35" i="1" s="1"/>
  <c r="E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C41" i="1" s="1"/>
  <c r="E41" i="1" s="1"/>
  <c r="B42" i="1"/>
  <c r="C42" i="1" s="1"/>
  <c r="E42" i="1" s="1"/>
  <c r="B43" i="1"/>
  <c r="C43" i="1" s="1"/>
  <c r="E43" i="1" s="1"/>
  <c r="B44" i="1"/>
  <c r="C44" i="1" s="1"/>
  <c r="E44" i="1" s="1"/>
  <c r="B45" i="1"/>
  <c r="C45" i="1" s="1"/>
  <c r="E45" i="1" s="1"/>
  <c r="B46" i="1"/>
  <c r="C46" i="1" s="1"/>
  <c r="E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C53" i="1" s="1"/>
  <c r="E53" i="1" s="1"/>
  <c r="B54" i="1"/>
  <c r="C54" i="1" s="1"/>
  <c r="E54" i="1" s="1"/>
  <c r="B55" i="1"/>
  <c r="C55" i="1" s="1"/>
  <c r="E55" i="1" s="1"/>
  <c r="B56" i="1"/>
  <c r="C56" i="1" s="1"/>
  <c r="E56" i="1" s="1"/>
  <c r="B57" i="1"/>
  <c r="D57" i="1" s="1"/>
  <c r="B58" i="1"/>
  <c r="C58" i="1" s="1"/>
  <c r="E58" i="1" s="1"/>
  <c r="B59" i="1"/>
  <c r="D59" i="1" s="1"/>
  <c r="B60" i="1"/>
  <c r="D60" i="1" s="1"/>
  <c r="B61" i="1"/>
  <c r="D61" i="1" s="1"/>
  <c r="B62" i="1"/>
  <c r="D62" i="1" s="1"/>
  <c r="B63" i="1"/>
  <c r="D63" i="1" s="1"/>
  <c r="B64" i="1"/>
  <c r="D64" i="1" s="1"/>
  <c r="B65" i="1"/>
  <c r="C65" i="1" s="1"/>
  <c r="E65" i="1" s="1"/>
  <c r="B66" i="1"/>
  <c r="C66" i="1" s="1"/>
  <c r="E66" i="1" s="1"/>
  <c r="B67" i="1"/>
  <c r="C67" i="1" s="1"/>
  <c r="E67" i="1" s="1"/>
  <c r="B68" i="1"/>
  <c r="C68" i="1" s="1"/>
  <c r="E68" i="1" s="1"/>
  <c r="B69" i="1"/>
  <c r="D69" i="1" s="1"/>
  <c r="B70" i="1"/>
  <c r="C70" i="1" s="1"/>
  <c r="E70" i="1" s="1"/>
  <c r="B71" i="1"/>
  <c r="D71" i="1" s="1"/>
  <c r="B72" i="1"/>
  <c r="D72" i="1" s="1"/>
  <c r="B73" i="1"/>
  <c r="D73" i="1" s="1"/>
  <c r="B74" i="1"/>
  <c r="D74" i="1" s="1"/>
  <c r="B75" i="1"/>
  <c r="D75" i="1" s="1"/>
  <c r="B76" i="1"/>
  <c r="D76" i="1" s="1"/>
  <c r="B77" i="1"/>
  <c r="C77" i="1" s="1"/>
  <c r="E77" i="1" s="1"/>
  <c r="B78" i="1"/>
  <c r="C78" i="1" s="1"/>
  <c r="E78" i="1" s="1"/>
  <c r="B79" i="1"/>
  <c r="C79" i="1" s="1"/>
  <c r="E79" i="1" s="1"/>
  <c r="B80" i="1"/>
  <c r="C80" i="1" s="1"/>
  <c r="E80" i="1" s="1"/>
  <c r="B81" i="1"/>
  <c r="D81" i="1" s="1"/>
  <c r="B82" i="1"/>
  <c r="C82" i="1" s="1"/>
  <c r="E82" i="1" s="1"/>
  <c r="B83" i="1"/>
  <c r="D83" i="1" s="1"/>
  <c r="B84" i="1"/>
  <c r="D84" i="1" s="1"/>
  <c r="B85" i="1"/>
  <c r="D85" i="1" s="1"/>
  <c r="B86" i="1"/>
  <c r="D86" i="1" s="1"/>
  <c r="B87" i="1"/>
  <c r="D87" i="1" s="1"/>
  <c r="B88" i="1"/>
  <c r="D88" i="1" s="1"/>
  <c r="B89" i="1"/>
  <c r="C89" i="1" s="1"/>
  <c r="E89" i="1" s="1"/>
  <c r="B90" i="1"/>
  <c r="C90" i="1" s="1"/>
  <c r="E90" i="1" s="1"/>
  <c r="B91" i="1"/>
  <c r="C91" i="1" s="1"/>
  <c r="E91" i="1" s="1"/>
  <c r="B92" i="1"/>
  <c r="C92" i="1" s="1"/>
  <c r="E92" i="1" s="1"/>
  <c r="B93" i="1"/>
  <c r="C93" i="1" s="1"/>
  <c r="E93" i="1" s="1"/>
  <c r="B94" i="1"/>
  <c r="C94" i="1" s="1"/>
  <c r="E94" i="1" s="1"/>
  <c r="B95" i="1"/>
  <c r="D95" i="1" s="1"/>
  <c r="B96" i="1"/>
  <c r="D96" i="1" s="1"/>
  <c r="B97" i="1"/>
  <c r="D97" i="1" s="1"/>
  <c r="B98" i="1"/>
  <c r="D98" i="1" s="1"/>
  <c r="B99" i="1"/>
  <c r="D99" i="1" s="1"/>
  <c r="B100" i="1"/>
  <c r="D100" i="1" s="1"/>
  <c r="B101" i="1"/>
  <c r="C101" i="1" s="1"/>
  <c r="E101" i="1" s="1"/>
  <c r="B102" i="1"/>
  <c r="C102" i="1" s="1"/>
  <c r="E102" i="1" s="1"/>
  <c r="B103" i="1"/>
  <c r="C103" i="1" s="1"/>
  <c r="E103" i="1" s="1"/>
  <c r="B104" i="1"/>
  <c r="C104" i="1" s="1"/>
  <c r="E104" i="1" s="1"/>
  <c r="B105" i="1"/>
  <c r="D105" i="1" s="1"/>
  <c r="B106" i="1"/>
  <c r="C106" i="1" s="1"/>
  <c r="E106" i="1" s="1"/>
  <c r="B107" i="1"/>
  <c r="D107" i="1" s="1"/>
  <c r="B108" i="1"/>
  <c r="D108" i="1" s="1"/>
  <c r="B109" i="1"/>
  <c r="D109" i="1" s="1"/>
  <c r="B110" i="1"/>
  <c r="D110" i="1" s="1"/>
  <c r="B111" i="1"/>
  <c r="D111" i="1" s="1"/>
  <c r="B112" i="1"/>
  <c r="D112" i="1" s="1"/>
  <c r="B113" i="1"/>
  <c r="C113" i="1" s="1"/>
  <c r="E113" i="1" s="1"/>
  <c r="B114" i="1"/>
  <c r="C114" i="1" s="1"/>
  <c r="E114" i="1" s="1"/>
  <c r="B115" i="1"/>
  <c r="C115" i="1" s="1"/>
  <c r="E115" i="1" s="1"/>
  <c r="B116" i="1"/>
  <c r="C116" i="1" s="1"/>
  <c r="E116" i="1" s="1"/>
  <c r="B117" i="1"/>
  <c r="C117" i="1" s="1"/>
  <c r="E117" i="1" s="1"/>
  <c r="B118" i="1"/>
  <c r="C118" i="1" s="1"/>
  <c r="E118" i="1" s="1"/>
  <c r="B119" i="1"/>
  <c r="D119" i="1" s="1"/>
  <c r="B120" i="1"/>
  <c r="D120" i="1" s="1"/>
  <c r="B121" i="1"/>
  <c r="D121" i="1" s="1"/>
  <c r="B122" i="1"/>
  <c r="D122" i="1" s="1"/>
  <c r="B123" i="1"/>
  <c r="D123" i="1" s="1"/>
  <c r="B124" i="1"/>
  <c r="D124" i="1" s="1"/>
  <c r="B125" i="1"/>
  <c r="C125" i="1" s="1"/>
  <c r="E125" i="1" s="1"/>
  <c r="B126" i="1"/>
  <c r="C126" i="1" s="1"/>
  <c r="E126" i="1" s="1"/>
  <c r="B127" i="1"/>
  <c r="C127" i="1" s="1"/>
  <c r="E127" i="1" s="1"/>
  <c r="B128" i="1"/>
  <c r="C128" i="1" s="1"/>
  <c r="E128" i="1" s="1"/>
  <c r="B129" i="1"/>
  <c r="C129" i="1" s="1"/>
  <c r="E129" i="1" s="1"/>
  <c r="B130" i="1"/>
  <c r="C130" i="1" s="1"/>
  <c r="E130" i="1" s="1"/>
  <c r="B131" i="1"/>
  <c r="D131" i="1" s="1"/>
  <c r="B132" i="1"/>
  <c r="D132" i="1" s="1"/>
  <c r="B133" i="1"/>
  <c r="D133" i="1" s="1"/>
  <c r="B134" i="1"/>
  <c r="D134" i="1" s="1"/>
  <c r="B135" i="1"/>
  <c r="D135" i="1" s="1"/>
  <c r="B136" i="1"/>
  <c r="D136" i="1" s="1"/>
  <c r="B137" i="1"/>
  <c r="C137" i="1" s="1"/>
  <c r="E137" i="1" s="1"/>
  <c r="B138" i="1"/>
  <c r="C138" i="1" s="1"/>
  <c r="E138" i="1" s="1"/>
  <c r="B139" i="1"/>
  <c r="C139" i="1" s="1"/>
  <c r="E139" i="1" s="1"/>
  <c r="B140" i="1"/>
  <c r="C140" i="1" s="1"/>
  <c r="E140" i="1" s="1"/>
  <c r="B141" i="1"/>
  <c r="D141" i="1" s="1"/>
  <c r="B142" i="1"/>
  <c r="C142" i="1" s="1"/>
  <c r="E142" i="1" s="1"/>
  <c r="B143" i="1"/>
  <c r="D143" i="1" s="1"/>
  <c r="B144" i="1"/>
  <c r="D144" i="1" s="1"/>
  <c r="B145" i="1"/>
  <c r="D145" i="1" s="1"/>
  <c r="B146" i="1"/>
  <c r="D146" i="1" s="1"/>
  <c r="B147" i="1"/>
  <c r="D147" i="1" s="1"/>
  <c r="B148" i="1"/>
  <c r="D148" i="1" s="1"/>
  <c r="B149" i="1"/>
  <c r="C149" i="1" s="1"/>
  <c r="E149" i="1" s="1"/>
  <c r="B150" i="1"/>
  <c r="C150" i="1" s="1"/>
  <c r="E150" i="1" s="1"/>
  <c r="B151" i="1"/>
  <c r="C151" i="1" s="1"/>
  <c r="E151" i="1" s="1"/>
  <c r="B152" i="1"/>
  <c r="C152" i="1" s="1"/>
  <c r="E152" i="1" s="1"/>
  <c r="B153" i="1"/>
  <c r="C153" i="1" s="1"/>
  <c r="E153" i="1" s="1"/>
  <c r="B154" i="1"/>
  <c r="C154" i="1" s="1"/>
  <c r="E154" i="1" s="1"/>
  <c r="B155" i="1"/>
  <c r="D155" i="1" s="1"/>
  <c r="B156" i="1"/>
  <c r="D156" i="1" s="1"/>
  <c r="B157" i="1"/>
  <c r="D157" i="1" s="1"/>
  <c r="B158" i="1"/>
  <c r="D158" i="1" s="1"/>
  <c r="B159" i="1"/>
  <c r="D159" i="1" s="1"/>
  <c r="B160" i="1"/>
  <c r="D160" i="1" s="1"/>
  <c r="B161" i="1"/>
  <c r="C161" i="1" s="1"/>
  <c r="E161" i="1" s="1"/>
  <c r="B162" i="1"/>
  <c r="C162" i="1" s="1"/>
  <c r="E162" i="1" s="1"/>
  <c r="B163" i="1"/>
  <c r="C163" i="1" s="1"/>
  <c r="E163" i="1" s="1"/>
  <c r="B164" i="1"/>
  <c r="C164" i="1" s="1"/>
  <c r="E164" i="1" s="1"/>
  <c r="B165" i="1"/>
  <c r="D165" i="1" s="1"/>
  <c r="B166" i="1"/>
  <c r="C166" i="1" s="1"/>
  <c r="E166" i="1" s="1"/>
  <c r="B167" i="1"/>
  <c r="D167" i="1" s="1"/>
  <c r="B168" i="1"/>
  <c r="D168" i="1" s="1"/>
  <c r="B169" i="1"/>
  <c r="D169" i="1" s="1"/>
  <c r="B170" i="1"/>
  <c r="D170" i="1" s="1"/>
  <c r="B171" i="1"/>
  <c r="D171" i="1" s="1"/>
  <c r="B172" i="1"/>
  <c r="D172" i="1" s="1"/>
  <c r="B173" i="1"/>
  <c r="C173" i="1" s="1"/>
  <c r="E173" i="1" s="1"/>
  <c r="B174" i="1"/>
  <c r="C174" i="1" s="1"/>
  <c r="E174" i="1" s="1"/>
  <c r="B175" i="1"/>
  <c r="C175" i="1" s="1"/>
  <c r="E175" i="1" s="1"/>
  <c r="B176" i="1"/>
  <c r="C176" i="1" s="1"/>
  <c r="E176" i="1" s="1"/>
  <c r="B177" i="1"/>
  <c r="D177" i="1" s="1"/>
  <c r="B178" i="1"/>
  <c r="C178" i="1" s="1"/>
  <c r="E178" i="1" s="1"/>
  <c r="B179" i="1"/>
  <c r="D179" i="1" s="1"/>
  <c r="B180" i="1"/>
  <c r="D180" i="1" s="1"/>
  <c r="B181" i="1"/>
  <c r="D181" i="1" s="1"/>
  <c r="B182" i="1"/>
  <c r="D182" i="1" s="1"/>
  <c r="B183" i="1"/>
  <c r="D183" i="1" s="1"/>
  <c r="B184" i="1"/>
  <c r="D184" i="1" s="1"/>
  <c r="B185" i="1"/>
  <c r="C185" i="1" s="1"/>
  <c r="E185" i="1" s="1"/>
  <c r="B186" i="1"/>
  <c r="C186" i="1" s="1"/>
  <c r="E186" i="1" s="1"/>
  <c r="B187" i="1"/>
  <c r="C187" i="1" s="1"/>
  <c r="E187" i="1" s="1"/>
  <c r="B188" i="1"/>
  <c r="C188" i="1" s="1"/>
  <c r="E188" i="1" s="1"/>
  <c r="B189" i="1"/>
  <c r="C189" i="1" s="1"/>
  <c r="E189" i="1" s="1"/>
  <c r="B190" i="1"/>
  <c r="C190" i="1" s="1"/>
  <c r="E190" i="1" s="1"/>
  <c r="B191" i="1"/>
  <c r="D191" i="1" s="1"/>
  <c r="B192" i="1"/>
  <c r="D192" i="1" s="1"/>
  <c r="B193" i="1"/>
  <c r="D193" i="1" s="1"/>
  <c r="B194" i="1"/>
  <c r="D194" i="1" s="1"/>
  <c r="B195" i="1"/>
  <c r="D195" i="1" s="1"/>
  <c r="B196" i="1"/>
  <c r="D196" i="1" s="1"/>
  <c r="B197" i="1"/>
  <c r="C197" i="1" s="1"/>
  <c r="E197" i="1" s="1"/>
  <c r="B198" i="1"/>
  <c r="C198" i="1" s="1"/>
  <c r="E198" i="1" s="1"/>
  <c r="B199" i="1"/>
  <c r="C199" i="1" s="1"/>
  <c r="E199" i="1" s="1"/>
  <c r="B200" i="1"/>
  <c r="C200" i="1" s="1"/>
  <c r="E200" i="1" s="1"/>
  <c r="B201" i="1"/>
  <c r="D201" i="1" s="1"/>
  <c r="B202" i="1"/>
  <c r="C202" i="1" s="1"/>
  <c r="E202" i="1" s="1"/>
  <c r="B203" i="1"/>
  <c r="D203" i="1" s="1"/>
  <c r="B204" i="1"/>
  <c r="D204" i="1" s="1"/>
  <c r="C110" i="1" l="1"/>
  <c r="E110" i="1" s="1"/>
  <c r="F110" i="1" s="1"/>
  <c r="H110" i="1" s="1"/>
  <c r="D175" i="1"/>
  <c r="F175" i="1" s="1"/>
  <c r="H175" i="1" s="1"/>
  <c r="D163" i="1"/>
  <c r="F163" i="1" s="1"/>
  <c r="H163" i="1" s="1"/>
  <c r="D162" i="1"/>
  <c r="F162" i="1" s="1"/>
  <c r="H162" i="1" s="1"/>
  <c r="C182" i="1"/>
  <c r="E182" i="1" s="1"/>
  <c r="F182" i="1" s="1"/>
  <c r="H182" i="1" s="1"/>
  <c r="C63" i="1"/>
  <c r="E63" i="1" s="1"/>
  <c r="F63" i="1" s="1"/>
  <c r="H63" i="1" s="1"/>
  <c r="C38" i="1"/>
  <c r="E38" i="1" s="1"/>
  <c r="F38" i="1" s="1"/>
  <c r="H38" i="1" s="1"/>
  <c r="C135" i="1"/>
  <c r="E135" i="1" s="1"/>
  <c r="F135" i="1" s="1"/>
  <c r="H135" i="1" s="1"/>
  <c r="C124" i="1"/>
  <c r="E124" i="1" s="1"/>
  <c r="F124" i="1" s="1"/>
  <c r="H124" i="1" s="1"/>
  <c r="D151" i="1"/>
  <c r="F151" i="1" s="1"/>
  <c r="H151" i="1" s="1"/>
  <c r="D103" i="1"/>
  <c r="F103" i="1" s="1"/>
  <c r="H103" i="1" s="1"/>
  <c r="D24" i="1"/>
  <c r="F24" i="1" s="1"/>
  <c r="H24" i="1" s="1"/>
  <c r="C99" i="1"/>
  <c r="E99" i="1" s="1"/>
  <c r="F99" i="1" s="1"/>
  <c r="H99" i="1" s="1"/>
  <c r="C88" i="1"/>
  <c r="E88" i="1" s="1"/>
  <c r="F88" i="1" s="1"/>
  <c r="H88" i="1" s="1"/>
  <c r="D130" i="1"/>
  <c r="F130" i="1" s="1"/>
  <c r="H130" i="1" s="1"/>
  <c r="C74" i="1"/>
  <c r="E74" i="1" s="1"/>
  <c r="F74" i="1" s="1"/>
  <c r="H74" i="1" s="1"/>
  <c r="D115" i="1"/>
  <c r="F115" i="1" s="1"/>
  <c r="H115" i="1" s="1"/>
  <c r="D94" i="1"/>
  <c r="F94" i="1" s="1"/>
  <c r="H94" i="1" s="1"/>
  <c r="D77" i="1"/>
  <c r="F77" i="1" s="1"/>
  <c r="H77" i="1" s="1"/>
  <c r="C171" i="1"/>
  <c r="E171" i="1" s="1"/>
  <c r="F171" i="1" s="1"/>
  <c r="H171" i="1" s="1"/>
  <c r="C16" i="1"/>
  <c r="E16" i="1" s="1"/>
  <c r="F16" i="1" s="1"/>
  <c r="H16" i="1" s="1"/>
  <c r="D67" i="1"/>
  <c r="F67" i="1" s="1"/>
  <c r="H67" i="1" s="1"/>
  <c r="C52" i="1"/>
  <c r="E52" i="1" s="1"/>
  <c r="F52" i="1" s="1"/>
  <c r="H52" i="1" s="1"/>
  <c r="C160" i="1"/>
  <c r="E160" i="1" s="1"/>
  <c r="F160" i="1" s="1"/>
  <c r="H160" i="1" s="1"/>
  <c r="D187" i="1"/>
  <c r="F187" i="1" s="1"/>
  <c r="H187" i="1" s="1"/>
  <c r="D55" i="1"/>
  <c r="F55" i="1" s="1"/>
  <c r="H55" i="1" s="1"/>
  <c r="C196" i="1"/>
  <c r="E196" i="1" s="1"/>
  <c r="F196" i="1" s="1"/>
  <c r="H196" i="1" s="1"/>
  <c r="C146" i="1"/>
  <c r="E146" i="1" s="1"/>
  <c r="F146" i="1" s="1"/>
  <c r="H146" i="1" s="1"/>
  <c r="D185" i="1"/>
  <c r="F185" i="1" s="1"/>
  <c r="H185" i="1" s="1"/>
  <c r="D43" i="1"/>
  <c r="F43" i="1" s="1"/>
  <c r="H43" i="1" s="1"/>
  <c r="D41" i="1"/>
  <c r="F41" i="1" s="1"/>
  <c r="H41" i="1" s="1"/>
  <c r="D23" i="1"/>
  <c r="F23" i="1" s="1"/>
  <c r="H23" i="1" s="1"/>
  <c r="C177" i="1"/>
  <c r="E177" i="1" s="1"/>
  <c r="F177" i="1" s="1"/>
  <c r="H177" i="1" s="1"/>
  <c r="C141" i="1"/>
  <c r="E141" i="1" s="1"/>
  <c r="F141" i="1" s="1"/>
  <c r="H141" i="1" s="1"/>
  <c r="C105" i="1"/>
  <c r="E105" i="1" s="1"/>
  <c r="F105" i="1" s="1"/>
  <c r="H105" i="1" s="1"/>
  <c r="C69" i="1"/>
  <c r="E69" i="1" s="1"/>
  <c r="F69" i="1" s="1"/>
  <c r="H69" i="1" s="1"/>
  <c r="C27" i="1"/>
  <c r="E27" i="1" s="1"/>
  <c r="F27" i="1" s="1"/>
  <c r="H27" i="1" s="1"/>
  <c r="D161" i="1"/>
  <c r="F161" i="1" s="1"/>
  <c r="H161" i="1" s="1"/>
  <c r="D129" i="1"/>
  <c r="F129" i="1" s="1"/>
  <c r="H129" i="1" s="1"/>
  <c r="D102" i="1"/>
  <c r="F102" i="1" s="1"/>
  <c r="H102" i="1" s="1"/>
  <c r="D70" i="1"/>
  <c r="F70" i="1" s="1"/>
  <c r="H70" i="1" s="1"/>
  <c r="C172" i="1"/>
  <c r="E172" i="1" s="1"/>
  <c r="F172" i="1" s="1"/>
  <c r="H172" i="1" s="1"/>
  <c r="C136" i="1"/>
  <c r="E136" i="1" s="1"/>
  <c r="F136" i="1" s="1"/>
  <c r="H136" i="1" s="1"/>
  <c r="C100" i="1"/>
  <c r="E100" i="1" s="1"/>
  <c r="F100" i="1" s="1"/>
  <c r="H100" i="1" s="1"/>
  <c r="C64" i="1"/>
  <c r="E64" i="1" s="1"/>
  <c r="F64" i="1" s="1"/>
  <c r="H64" i="1" s="1"/>
  <c r="C25" i="1"/>
  <c r="E25" i="1" s="1"/>
  <c r="F25" i="1" s="1"/>
  <c r="H25" i="1" s="1"/>
  <c r="D186" i="1"/>
  <c r="F186" i="1" s="1"/>
  <c r="H186" i="1" s="1"/>
  <c r="D154" i="1"/>
  <c r="F154" i="1" s="1"/>
  <c r="H154" i="1" s="1"/>
  <c r="D127" i="1"/>
  <c r="F127" i="1" s="1"/>
  <c r="H127" i="1" s="1"/>
  <c r="D101" i="1"/>
  <c r="F101" i="1" s="1"/>
  <c r="H101" i="1" s="1"/>
  <c r="D42" i="1"/>
  <c r="F42" i="1" s="1"/>
  <c r="H42" i="1" s="1"/>
  <c r="C170" i="1"/>
  <c r="E170" i="1" s="1"/>
  <c r="F170" i="1" s="1"/>
  <c r="H170" i="1" s="1"/>
  <c r="C134" i="1"/>
  <c r="E134" i="1" s="1"/>
  <c r="F134" i="1" s="1"/>
  <c r="H134" i="1" s="1"/>
  <c r="C98" i="1"/>
  <c r="E98" i="1" s="1"/>
  <c r="F98" i="1" s="1"/>
  <c r="H98" i="1" s="1"/>
  <c r="C62" i="1"/>
  <c r="E62" i="1" s="1"/>
  <c r="F62" i="1" s="1"/>
  <c r="H62" i="1" s="1"/>
  <c r="C15" i="1"/>
  <c r="E15" i="1" s="1"/>
  <c r="F15" i="1" s="1"/>
  <c r="H15" i="1" s="1"/>
  <c r="D178" i="1"/>
  <c r="F178" i="1" s="1"/>
  <c r="H178" i="1" s="1"/>
  <c r="D125" i="1"/>
  <c r="F125" i="1" s="1"/>
  <c r="H125" i="1" s="1"/>
  <c r="D93" i="1"/>
  <c r="F93" i="1" s="1"/>
  <c r="H93" i="1" s="1"/>
  <c r="D66" i="1"/>
  <c r="F66" i="1" s="1"/>
  <c r="H66" i="1" s="1"/>
  <c r="D34" i="1"/>
  <c r="F34" i="1" s="1"/>
  <c r="H34" i="1" s="1"/>
  <c r="C201" i="1"/>
  <c r="E201" i="1" s="1"/>
  <c r="F201" i="1" s="1"/>
  <c r="H201" i="1" s="1"/>
  <c r="C165" i="1"/>
  <c r="E165" i="1" s="1"/>
  <c r="F165" i="1" s="1"/>
  <c r="H165" i="1" s="1"/>
  <c r="C57" i="1"/>
  <c r="E57" i="1" s="1"/>
  <c r="F57" i="1" s="1"/>
  <c r="H57" i="1" s="1"/>
  <c r="C14" i="1"/>
  <c r="E14" i="1" s="1"/>
  <c r="F14" i="1" s="1"/>
  <c r="H14" i="1" s="1"/>
  <c r="D150" i="1"/>
  <c r="F150" i="1" s="1"/>
  <c r="H150" i="1" s="1"/>
  <c r="D118" i="1"/>
  <c r="F118" i="1" s="1"/>
  <c r="H118" i="1" s="1"/>
  <c r="D91" i="1"/>
  <c r="F91" i="1" s="1"/>
  <c r="H91" i="1" s="1"/>
  <c r="D65" i="1"/>
  <c r="F65" i="1" s="1"/>
  <c r="H65" i="1" s="1"/>
  <c r="D33" i="1"/>
  <c r="F33" i="1" s="1"/>
  <c r="H33" i="1" s="1"/>
  <c r="D153" i="1"/>
  <c r="F153" i="1" s="1"/>
  <c r="H153" i="1" s="1"/>
  <c r="D202" i="1"/>
  <c r="F202" i="1" s="1"/>
  <c r="H202" i="1" s="1"/>
  <c r="D149" i="1"/>
  <c r="F149" i="1" s="1"/>
  <c r="H149" i="1" s="1"/>
  <c r="D117" i="1"/>
  <c r="F117" i="1" s="1"/>
  <c r="H117" i="1" s="1"/>
  <c r="D90" i="1"/>
  <c r="F90" i="1" s="1"/>
  <c r="H90" i="1" s="1"/>
  <c r="D58" i="1"/>
  <c r="F58" i="1" s="1"/>
  <c r="H58" i="1" s="1"/>
  <c r="D189" i="1"/>
  <c r="F189" i="1" s="1"/>
  <c r="H189" i="1" s="1"/>
  <c r="D126" i="1"/>
  <c r="F126" i="1" s="1"/>
  <c r="H126" i="1" s="1"/>
  <c r="C195" i="1"/>
  <c r="E195" i="1" s="1"/>
  <c r="F195" i="1" s="1"/>
  <c r="H195" i="1" s="1"/>
  <c r="C159" i="1"/>
  <c r="E159" i="1" s="1"/>
  <c r="F159" i="1" s="1"/>
  <c r="H159" i="1" s="1"/>
  <c r="C87" i="1"/>
  <c r="E87" i="1" s="1"/>
  <c r="F87" i="1" s="1"/>
  <c r="H87" i="1" s="1"/>
  <c r="C51" i="1"/>
  <c r="E51" i="1" s="1"/>
  <c r="F51" i="1" s="1"/>
  <c r="H51" i="1" s="1"/>
  <c r="D174" i="1"/>
  <c r="F174" i="1" s="1"/>
  <c r="H174" i="1" s="1"/>
  <c r="D142" i="1"/>
  <c r="F142" i="1" s="1"/>
  <c r="H142" i="1" s="1"/>
  <c r="D89" i="1"/>
  <c r="F89" i="1" s="1"/>
  <c r="H89" i="1" s="1"/>
  <c r="D45" i="1"/>
  <c r="F45" i="1" s="1"/>
  <c r="H45" i="1" s="1"/>
  <c r="D82" i="1"/>
  <c r="F82" i="1" s="1"/>
  <c r="H82" i="1" s="1"/>
  <c r="C123" i="1"/>
  <c r="E123" i="1" s="1"/>
  <c r="F123" i="1" s="1"/>
  <c r="H123" i="1" s="1"/>
  <c r="C194" i="1"/>
  <c r="E194" i="1" s="1"/>
  <c r="F194" i="1" s="1"/>
  <c r="H194" i="1" s="1"/>
  <c r="C86" i="1"/>
  <c r="E86" i="1" s="1"/>
  <c r="F86" i="1" s="1"/>
  <c r="H86" i="1" s="1"/>
  <c r="D199" i="1"/>
  <c r="F199" i="1" s="1"/>
  <c r="H199" i="1" s="1"/>
  <c r="D22" i="1"/>
  <c r="F22" i="1" s="1"/>
  <c r="H22" i="1" s="1"/>
  <c r="C81" i="1"/>
  <c r="E81" i="1" s="1"/>
  <c r="F81" i="1" s="1"/>
  <c r="H81" i="1" s="1"/>
  <c r="D198" i="1"/>
  <c r="F198" i="1" s="1"/>
  <c r="H198" i="1" s="1"/>
  <c r="D166" i="1"/>
  <c r="F166" i="1" s="1"/>
  <c r="H166" i="1" s="1"/>
  <c r="D139" i="1"/>
  <c r="F139" i="1" s="1"/>
  <c r="H139" i="1" s="1"/>
  <c r="D113" i="1"/>
  <c r="F113" i="1" s="1"/>
  <c r="H113" i="1" s="1"/>
  <c r="D54" i="1"/>
  <c r="F54" i="1" s="1"/>
  <c r="H54" i="1" s="1"/>
  <c r="D21" i="1"/>
  <c r="F21" i="1" s="1"/>
  <c r="H21" i="1" s="1"/>
  <c r="C158" i="1"/>
  <c r="E158" i="1" s="1"/>
  <c r="F158" i="1" s="1"/>
  <c r="H158" i="1" s="1"/>
  <c r="C122" i="1"/>
  <c r="E122" i="1" s="1"/>
  <c r="F122" i="1" s="1"/>
  <c r="H122" i="1" s="1"/>
  <c r="C50" i="1"/>
  <c r="E50" i="1" s="1"/>
  <c r="F50" i="1" s="1"/>
  <c r="H50" i="1" s="1"/>
  <c r="D173" i="1"/>
  <c r="F173" i="1" s="1"/>
  <c r="H173" i="1" s="1"/>
  <c r="D114" i="1"/>
  <c r="F114" i="1" s="1"/>
  <c r="H114" i="1" s="1"/>
  <c r="C184" i="1"/>
  <c r="E184" i="1" s="1"/>
  <c r="F184" i="1" s="1"/>
  <c r="H184" i="1" s="1"/>
  <c r="C148" i="1"/>
  <c r="E148" i="1" s="1"/>
  <c r="F148" i="1" s="1"/>
  <c r="H148" i="1" s="1"/>
  <c r="C112" i="1"/>
  <c r="E112" i="1" s="1"/>
  <c r="F112" i="1" s="1"/>
  <c r="H112" i="1" s="1"/>
  <c r="C76" i="1"/>
  <c r="E76" i="1" s="1"/>
  <c r="F76" i="1" s="1"/>
  <c r="H76" i="1" s="1"/>
  <c r="C40" i="1"/>
  <c r="E40" i="1" s="1"/>
  <c r="F40" i="1" s="1"/>
  <c r="H40" i="1" s="1"/>
  <c r="D197" i="1"/>
  <c r="F197" i="1" s="1"/>
  <c r="H197" i="1" s="1"/>
  <c r="D138" i="1"/>
  <c r="F138" i="1" s="1"/>
  <c r="H138" i="1" s="1"/>
  <c r="D106" i="1"/>
  <c r="F106" i="1" s="1"/>
  <c r="H106" i="1" s="1"/>
  <c r="D79" i="1"/>
  <c r="F79" i="1" s="1"/>
  <c r="H79" i="1" s="1"/>
  <c r="D53" i="1"/>
  <c r="F53" i="1" s="1"/>
  <c r="H53" i="1" s="1"/>
  <c r="D9" i="1"/>
  <c r="F9" i="1" s="1"/>
  <c r="H9" i="1" s="1"/>
  <c r="C183" i="1"/>
  <c r="E183" i="1" s="1"/>
  <c r="F183" i="1" s="1"/>
  <c r="H183" i="1" s="1"/>
  <c r="C147" i="1"/>
  <c r="E147" i="1" s="1"/>
  <c r="F147" i="1" s="1"/>
  <c r="H147" i="1" s="1"/>
  <c r="C111" i="1"/>
  <c r="E111" i="1" s="1"/>
  <c r="F111" i="1" s="1"/>
  <c r="H111" i="1" s="1"/>
  <c r="C75" i="1"/>
  <c r="E75" i="1" s="1"/>
  <c r="F75" i="1" s="1"/>
  <c r="H75" i="1" s="1"/>
  <c r="C39" i="1"/>
  <c r="E39" i="1" s="1"/>
  <c r="F39" i="1" s="1"/>
  <c r="H39" i="1" s="1"/>
  <c r="D190" i="1"/>
  <c r="F190" i="1" s="1"/>
  <c r="H190" i="1" s="1"/>
  <c r="D137" i="1"/>
  <c r="F137" i="1" s="1"/>
  <c r="H137" i="1" s="1"/>
  <c r="D78" i="1"/>
  <c r="F78" i="1" s="1"/>
  <c r="H78" i="1" s="1"/>
  <c r="D46" i="1"/>
  <c r="F46" i="1" s="1"/>
  <c r="H46" i="1" s="1"/>
  <c r="D5" i="1"/>
  <c r="F5" i="1" s="1"/>
  <c r="D200" i="1"/>
  <c r="F200" i="1" s="1"/>
  <c r="H200" i="1" s="1"/>
  <c r="D188" i="1"/>
  <c r="F188" i="1" s="1"/>
  <c r="H188" i="1" s="1"/>
  <c r="D176" i="1"/>
  <c r="F176" i="1" s="1"/>
  <c r="H176" i="1" s="1"/>
  <c r="D164" i="1"/>
  <c r="F164" i="1" s="1"/>
  <c r="H164" i="1" s="1"/>
  <c r="D152" i="1"/>
  <c r="F152" i="1" s="1"/>
  <c r="H152" i="1" s="1"/>
  <c r="D140" i="1"/>
  <c r="F140" i="1" s="1"/>
  <c r="H140" i="1" s="1"/>
  <c r="D128" i="1"/>
  <c r="F128" i="1" s="1"/>
  <c r="H128" i="1" s="1"/>
  <c r="D116" i="1"/>
  <c r="F116" i="1" s="1"/>
  <c r="H116" i="1" s="1"/>
  <c r="D104" i="1"/>
  <c r="F104" i="1" s="1"/>
  <c r="H104" i="1" s="1"/>
  <c r="D92" i="1"/>
  <c r="F92" i="1" s="1"/>
  <c r="H92" i="1" s="1"/>
  <c r="D80" i="1"/>
  <c r="F80" i="1" s="1"/>
  <c r="H80" i="1" s="1"/>
  <c r="D68" i="1"/>
  <c r="F68" i="1" s="1"/>
  <c r="H68" i="1" s="1"/>
  <c r="D56" i="1"/>
  <c r="F56" i="1" s="1"/>
  <c r="H56" i="1" s="1"/>
  <c r="D44" i="1"/>
  <c r="F44" i="1" s="1"/>
  <c r="H44" i="1" s="1"/>
  <c r="C193" i="1"/>
  <c r="E193" i="1" s="1"/>
  <c r="F193" i="1" s="1"/>
  <c r="H193" i="1" s="1"/>
  <c r="C181" i="1"/>
  <c r="E181" i="1" s="1"/>
  <c r="F181" i="1" s="1"/>
  <c r="H181" i="1" s="1"/>
  <c r="C169" i="1"/>
  <c r="E169" i="1" s="1"/>
  <c r="F169" i="1" s="1"/>
  <c r="H169" i="1" s="1"/>
  <c r="C157" i="1"/>
  <c r="E157" i="1" s="1"/>
  <c r="F157" i="1" s="1"/>
  <c r="H157" i="1" s="1"/>
  <c r="C145" i="1"/>
  <c r="E145" i="1" s="1"/>
  <c r="F145" i="1" s="1"/>
  <c r="H145" i="1" s="1"/>
  <c r="C133" i="1"/>
  <c r="E133" i="1" s="1"/>
  <c r="F133" i="1" s="1"/>
  <c r="H133" i="1" s="1"/>
  <c r="C121" i="1"/>
  <c r="E121" i="1" s="1"/>
  <c r="F121" i="1" s="1"/>
  <c r="H121" i="1" s="1"/>
  <c r="C109" i="1"/>
  <c r="E109" i="1" s="1"/>
  <c r="F109" i="1" s="1"/>
  <c r="H109" i="1" s="1"/>
  <c r="C97" i="1"/>
  <c r="E97" i="1" s="1"/>
  <c r="F97" i="1" s="1"/>
  <c r="H97" i="1" s="1"/>
  <c r="C85" i="1"/>
  <c r="E85" i="1" s="1"/>
  <c r="F85" i="1" s="1"/>
  <c r="H85" i="1" s="1"/>
  <c r="C73" i="1"/>
  <c r="E73" i="1" s="1"/>
  <c r="F73" i="1" s="1"/>
  <c r="H73" i="1" s="1"/>
  <c r="C61" i="1"/>
  <c r="E61" i="1" s="1"/>
  <c r="F61" i="1" s="1"/>
  <c r="H61" i="1" s="1"/>
  <c r="C49" i="1"/>
  <c r="E49" i="1" s="1"/>
  <c r="F49" i="1" s="1"/>
  <c r="H49" i="1" s="1"/>
  <c r="C37" i="1"/>
  <c r="E37" i="1" s="1"/>
  <c r="F37" i="1" s="1"/>
  <c r="H37" i="1" s="1"/>
  <c r="C13" i="1"/>
  <c r="E13" i="1" s="1"/>
  <c r="F13" i="1" s="1"/>
  <c r="H13" i="1" s="1"/>
  <c r="C204" i="1"/>
  <c r="E204" i="1" s="1"/>
  <c r="F204" i="1" s="1"/>
  <c r="H204" i="1" s="1"/>
  <c r="C192" i="1"/>
  <c r="E192" i="1" s="1"/>
  <c r="F192" i="1" s="1"/>
  <c r="H192" i="1" s="1"/>
  <c r="C180" i="1"/>
  <c r="E180" i="1" s="1"/>
  <c r="F180" i="1" s="1"/>
  <c r="H180" i="1" s="1"/>
  <c r="C168" i="1"/>
  <c r="E168" i="1" s="1"/>
  <c r="F168" i="1" s="1"/>
  <c r="H168" i="1" s="1"/>
  <c r="C156" i="1"/>
  <c r="E156" i="1" s="1"/>
  <c r="F156" i="1" s="1"/>
  <c r="H156" i="1" s="1"/>
  <c r="C144" i="1"/>
  <c r="E144" i="1" s="1"/>
  <c r="F144" i="1" s="1"/>
  <c r="H144" i="1" s="1"/>
  <c r="C132" i="1"/>
  <c r="E132" i="1" s="1"/>
  <c r="F132" i="1" s="1"/>
  <c r="H132" i="1" s="1"/>
  <c r="C120" i="1"/>
  <c r="E120" i="1" s="1"/>
  <c r="F120" i="1" s="1"/>
  <c r="H120" i="1" s="1"/>
  <c r="C108" i="1"/>
  <c r="E108" i="1" s="1"/>
  <c r="F108" i="1" s="1"/>
  <c r="H108" i="1" s="1"/>
  <c r="C96" i="1"/>
  <c r="E96" i="1" s="1"/>
  <c r="F96" i="1" s="1"/>
  <c r="H96" i="1" s="1"/>
  <c r="C84" i="1"/>
  <c r="E84" i="1" s="1"/>
  <c r="F84" i="1" s="1"/>
  <c r="H84" i="1" s="1"/>
  <c r="C72" i="1"/>
  <c r="E72" i="1" s="1"/>
  <c r="F72" i="1" s="1"/>
  <c r="H72" i="1" s="1"/>
  <c r="C60" i="1"/>
  <c r="E60" i="1" s="1"/>
  <c r="F60" i="1" s="1"/>
  <c r="H60" i="1" s="1"/>
  <c r="C48" i="1"/>
  <c r="E48" i="1" s="1"/>
  <c r="F48" i="1" s="1"/>
  <c r="H48" i="1" s="1"/>
  <c r="C36" i="1"/>
  <c r="E36" i="1" s="1"/>
  <c r="F36" i="1" s="1"/>
  <c r="H36" i="1" s="1"/>
  <c r="C12" i="1"/>
  <c r="E12" i="1" s="1"/>
  <c r="F12" i="1" s="1"/>
  <c r="H12" i="1" s="1"/>
  <c r="C203" i="1"/>
  <c r="E203" i="1" s="1"/>
  <c r="F203" i="1" s="1"/>
  <c r="H203" i="1" s="1"/>
  <c r="C191" i="1"/>
  <c r="E191" i="1" s="1"/>
  <c r="F191" i="1" s="1"/>
  <c r="H191" i="1" s="1"/>
  <c r="C179" i="1"/>
  <c r="E179" i="1" s="1"/>
  <c r="F179" i="1" s="1"/>
  <c r="H179" i="1" s="1"/>
  <c r="C167" i="1"/>
  <c r="E167" i="1" s="1"/>
  <c r="F167" i="1" s="1"/>
  <c r="H167" i="1" s="1"/>
  <c r="C155" i="1"/>
  <c r="E155" i="1" s="1"/>
  <c r="F155" i="1" s="1"/>
  <c r="H155" i="1" s="1"/>
  <c r="C143" i="1"/>
  <c r="E143" i="1" s="1"/>
  <c r="F143" i="1" s="1"/>
  <c r="H143" i="1" s="1"/>
  <c r="C131" i="1"/>
  <c r="E131" i="1" s="1"/>
  <c r="F131" i="1" s="1"/>
  <c r="H131" i="1" s="1"/>
  <c r="C119" i="1"/>
  <c r="E119" i="1" s="1"/>
  <c r="F119" i="1" s="1"/>
  <c r="H119" i="1" s="1"/>
  <c r="C107" i="1"/>
  <c r="E107" i="1" s="1"/>
  <c r="F107" i="1" s="1"/>
  <c r="H107" i="1" s="1"/>
  <c r="C95" i="1"/>
  <c r="E95" i="1" s="1"/>
  <c r="F95" i="1" s="1"/>
  <c r="H95" i="1" s="1"/>
  <c r="C83" i="1"/>
  <c r="E83" i="1" s="1"/>
  <c r="F83" i="1" s="1"/>
  <c r="H83" i="1" s="1"/>
  <c r="C71" i="1"/>
  <c r="E71" i="1" s="1"/>
  <c r="F71" i="1" s="1"/>
  <c r="H71" i="1" s="1"/>
  <c r="C59" i="1"/>
  <c r="E59" i="1" s="1"/>
  <c r="F59" i="1" s="1"/>
  <c r="H59" i="1" s="1"/>
  <c r="C47" i="1"/>
  <c r="E47" i="1" s="1"/>
  <c r="F47" i="1" s="1"/>
  <c r="H47" i="1" s="1"/>
  <c r="C10" i="1"/>
  <c r="E10" i="1" s="1"/>
  <c r="F10" i="1" s="1"/>
  <c r="H10" i="1" s="1"/>
  <c r="C28" i="1"/>
  <c r="E28" i="1" s="1"/>
  <c r="F28" i="1" s="1"/>
  <c r="H28" i="1" s="1"/>
  <c r="D11" i="1"/>
  <c r="F11" i="1" s="1"/>
  <c r="H11" i="1" s="1"/>
  <c r="C26" i="1"/>
  <c r="E26" i="1" s="1"/>
  <c r="F26" i="1" s="1"/>
  <c r="H26" i="1" s="1"/>
  <c r="D35" i="1"/>
  <c r="F35" i="1" s="1"/>
  <c r="H35" i="1" s="1"/>
  <c r="C31" i="1"/>
  <c r="E31" i="1" s="1"/>
  <c r="D31" i="1"/>
  <c r="C19" i="1"/>
  <c r="E19" i="1" s="1"/>
  <c r="D19" i="1"/>
  <c r="E7" i="1"/>
  <c r="D7" i="1"/>
  <c r="C20" i="1"/>
  <c r="E20" i="1" s="1"/>
  <c r="D20" i="1"/>
  <c r="C32" i="1"/>
  <c r="E32" i="1" s="1"/>
  <c r="D32" i="1"/>
  <c r="C8" i="1"/>
  <c r="E8" i="1" s="1"/>
  <c r="D8" i="1"/>
  <c r="D30" i="1"/>
  <c r="F30" i="1" s="1"/>
  <c r="H30" i="1" s="1"/>
  <c r="D29" i="1"/>
  <c r="F29" i="1" s="1"/>
  <c r="H29" i="1" s="1"/>
  <c r="D17" i="1"/>
  <c r="F17" i="1" s="1"/>
  <c r="H17" i="1" s="1"/>
  <c r="D6" i="1"/>
  <c r="F6" i="1" s="1"/>
  <c r="H6" i="1" s="1"/>
  <c r="D18" i="1"/>
  <c r="F18" i="1" s="1"/>
  <c r="H18" i="1" s="1"/>
  <c r="G5" i="1" l="1"/>
  <c r="H5" i="1"/>
  <c r="G112" i="1"/>
  <c r="G52" i="1"/>
  <c r="G111" i="1"/>
  <c r="G125" i="1"/>
  <c r="G83" i="1"/>
  <c r="G36" i="1"/>
  <c r="G180" i="1"/>
  <c r="G133" i="1"/>
  <c r="G116" i="1"/>
  <c r="G190" i="1"/>
  <c r="G40" i="1"/>
  <c r="G113" i="1"/>
  <c r="G89" i="1"/>
  <c r="G149" i="1"/>
  <c r="G34" i="1"/>
  <c r="G127" i="1"/>
  <c r="G27" i="1"/>
  <c r="G187" i="1"/>
  <c r="G99" i="1"/>
  <c r="G110" i="1"/>
  <c r="G17" i="1"/>
  <c r="G95" i="1"/>
  <c r="G48" i="1"/>
  <c r="G192" i="1"/>
  <c r="G145" i="1"/>
  <c r="G128" i="1"/>
  <c r="G39" i="1"/>
  <c r="G76" i="1"/>
  <c r="G139" i="1"/>
  <c r="G142" i="1"/>
  <c r="G202" i="1"/>
  <c r="G66" i="1"/>
  <c r="G154" i="1"/>
  <c r="G69" i="1"/>
  <c r="G160" i="1"/>
  <c r="G24" i="1"/>
  <c r="G26" i="1"/>
  <c r="G176" i="1"/>
  <c r="G91" i="1"/>
  <c r="G135" i="1"/>
  <c r="G155" i="1"/>
  <c r="G108" i="1"/>
  <c r="G61" i="1"/>
  <c r="G44" i="1"/>
  <c r="G188" i="1"/>
  <c r="G9" i="1"/>
  <c r="G173" i="1"/>
  <c r="G199" i="1"/>
  <c r="G195" i="1"/>
  <c r="G118" i="1"/>
  <c r="G62" i="1"/>
  <c r="G136" i="1"/>
  <c r="G41" i="1"/>
  <c r="G77" i="1"/>
  <c r="G38" i="1"/>
  <c r="G60" i="1"/>
  <c r="G166" i="1"/>
  <c r="G105" i="1"/>
  <c r="G13" i="1"/>
  <c r="G198" i="1"/>
  <c r="G67" i="1"/>
  <c r="G35" i="1"/>
  <c r="G181" i="1"/>
  <c r="G167" i="1"/>
  <c r="G120" i="1"/>
  <c r="G73" i="1"/>
  <c r="G56" i="1"/>
  <c r="G200" i="1"/>
  <c r="G53" i="1"/>
  <c r="G50" i="1"/>
  <c r="G86" i="1"/>
  <c r="G126" i="1"/>
  <c r="G150" i="1"/>
  <c r="G98" i="1"/>
  <c r="G172" i="1"/>
  <c r="G43" i="1"/>
  <c r="G94" i="1"/>
  <c r="G63" i="1"/>
  <c r="G157" i="1"/>
  <c r="G93" i="1"/>
  <c r="G72" i="1"/>
  <c r="G51" i="1"/>
  <c r="G151" i="1"/>
  <c r="G147" i="1"/>
  <c r="G178" i="1"/>
  <c r="G124" i="1"/>
  <c r="G143" i="1"/>
  <c r="G183" i="1"/>
  <c r="G15" i="1"/>
  <c r="G132" i="1"/>
  <c r="G68" i="1"/>
  <c r="G79" i="1"/>
  <c r="G122" i="1"/>
  <c r="G194" i="1"/>
  <c r="G189" i="1"/>
  <c r="G14" i="1"/>
  <c r="G134" i="1"/>
  <c r="G70" i="1"/>
  <c r="G185" i="1"/>
  <c r="G115" i="1"/>
  <c r="G182" i="1"/>
  <c r="G29" i="1"/>
  <c r="G75" i="1"/>
  <c r="G186" i="1"/>
  <c r="G119" i="1"/>
  <c r="G148" i="1"/>
  <c r="G141" i="1"/>
  <c r="G37" i="1"/>
  <c r="G81" i="1"/>
  <c r="G64" i="1"/>
  <c r="G193" i="1"/>
  <c r="G159" i="1"/>
  <c r="G23" i="1"/>
  <c r="G10" i="1"/>
  <c r="G85" i="1"/>
  <c r="G47" i="1"/>
  <c r="G191" i="1"/>
  <c r="G144" i="1"/>
  <c r="G97" i="1"/>
  <c r="G80" i="1"/>
  <c r="G46" i="1"/>
  <c r="G106" i="1"/>
  <c r="G158" i="1"/>
  <c r="G123" i="1"/>
  <c r="G58" i="1"/>
  <c r="G57" i="1"/>
  <c r="G170" i="1"/>
  <c r="G102" i="1"/>
  <c r="G146" i="1"/>
  <c r="G74" i="1"/>
  <c r="G162" i="1"/>
  <c r="G107" i="1"/>
  <c r="G140" i="1"/>
  <c r="G153" i="1"/>
  <c r="G169" i="1"/>
  <c r="G25" i="1"/>
  <c r="G84" i="1"/>
  <c r="G184" i="1"/>
  <c r="G65" i="1"/>
  <c r="G16" i="1"/>
  <c r="G96" i="1"/>
  <c r="G114" i="1"/>
  <c r="G100" i="1"/>
  <c r="G28" i="1"/>
  <c r="G179" i="1"/>
  <c r="F7" i="1"/>
  <c r="H7" i="1" s="1"/>
  <c r="G59" i="1"/>
  <c r="G203" i="1"/>
  <c r="G156" i="1"/>
  <c r="G109" i="1"/>
  <c r="G92" i="1"/>
  <c r="G78" i="1"/>
  <c r="G138" i="1"/>
  <c r="G21" i="1"/>
  <c r="G82" i="1"/>
  <c r="G90" i="1"/>
  <c r="G165" i="1"/>
  <c r="G42" i="1"/>
  <c r="G129" i="1"/>
  <c r="G196" i="1"/>
  <c r="G130" i="1"/>
  <c r="G163" i="1"/>
  <c r="G204" i="1"/>
  <c r="G174" i="1"/>
  <c r="G103" i="1"/>
  <c r="G30" i="1"/>
  <c r="G152" i="1"/>
  <c r="G33" i="1"/>
  <c r="G131" i="1"/>
  <c r="G164" i="1"/>
  <c r="G87" i="1"/>
  <c r="G177" i="1"/>
  <c r="G49" i="1"/>
  <c r="G22" i="1"/>
  <c r="G171" i="1"/>
  <c r="G11" i="1"/>
  <c r="G18" i="1"/>
  <c r="G71" i="1"/>
  <c r="G12" i="1"/>
  <c r="G168" i="1"/>
  <c r="G121" i="1"/>
  <c r="G104" i="1"/>
  <c r="G137" i="1"/>
  <c r="G197" i="1"/>
  <c r="G54" i="1"/>
  <c r="G45" i="1"/>
  <c r="G117" i="1"/>
  <c r="G201" i="1"/>
  <c r="G101" i="1"/>
  <c r="G161" i="1"/>
  <c r="G55" i="1"/>
  <c r="G88" i="1"/>
  <c r="G175" i="1"/>
  <c r="G6" i="1"/>
  <c r="F32" i="1"/>
  <c r="H32" i="1" s="1"/>
  <c r="F8" i="1"/>
  <c r="H8" i="1" s="1"/>
  <c r="F20" i="1"/>
  <c r="H20" i="1" s="1"/>
  <c r="F31" i="1"/>
  <c r="H31" i="1" s="1"/>
  <c r="F19" i="1"/>
  <c r="H19" i="1" s="1"/>
  <c r="G32" i="1" l="1"/>
  <c r="G19" i="1"/>
  <c r="G31" i="1"/>
  <c r="G20" i="1"/>
  <c r="G8" i="1"/>
  <c r="G7" i="1"/>
</calcChain>
</file>

<file path=xl/sharedStrings.xml><?xml version="1.0" encoding="utf-8"?>
<sst xmlns="http://schemas.openxmlformats.org/spreadsheetml/2006/main" count="15" uniqueCount="15">
  <si>
    <t>r</t>
  </si>
  <si>
    <t>T</t>
  </si>
  <si>
    <t>K</t>
  </si>
  <si>
    <t>S</t>
  </si>
  <si>
    <t>σ</t>
  </si>
  <si>
    <t>Δ</t>
  </si>
  <si>
    <t>PNL</t>
  </si>
  <si>
    <t>Prix Action</t>
  </si>
  <si>
    <t>D1</t>
  </si>
  <si>
    <t>D2</t>
  </si>
  <si>
    <t>Normal(D1)</t>
  </si>
  <si>
    <t>Normal(D2)</t>
  </si>
  <si>
    <t>Portefeuille</t>
  </si>
  <si>
    <t>Prix option</t>
  </si>
  <si>
    <t>Delta Portefeuille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</si>
</sst>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Arial"/>
      <family val="2"/>
    </font>
    <font>
      <b/>
      <sz val="12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NumberFormat="1"/>
    <xf numFmtId="0" fontId="0" fillId="0" borderId="0" xfId="2" applyNumberFormat="1" applyFont="1"/>
  </cellXfs>
  <cellStyles count="3">
    <cellStyle name="Monétaire" xfId="1" builtinId="4"/>
    <cellStyle name="Normal" xfId="0" builtinId="0"/>
    <cellStyle name="Pourcentage" xfId="2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36920384951881E-2"/>
          <c:y val="0.19486111111111112"/>
          <c:w val="0.89019685039370078"/>
          <c:h val="0.70841097987751533"/>
        </c:manualLayout>
      </c:layout>
      <c:lineChart>
        <c:grouping val="standard"/>
        <c:varyColors val="0"/>
        <c:ser>
          <c:idx val="0"/>
          <c:order val="0"/>
          <c:tx>
            <c:strRef>
              <c:f>'Profil Action '!$F$4</c:f>
              <c:strCache>
                <c:ptCount val="1"/>
                <c:pt idx="0">
                  <c:v>Prix option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'Profil Action '!$A$5:$A$204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'Profil Action '!$F$5:$F$204</c:f>
              <c:numCache>
                <c:formatCode>_("€"* #,##0.00_);_("€"* \(#,##0.00\);_("€"* "-"??_);_(@_)</c:formatCode>
                <c:ptCount val="200"/>
                <c:pt idx="0">
                  <c:v>3.0668634674060133E-7</c:v>
                </c:pt>
                <c:pt idx="1">
                  <c:v>2.1387072231342845E-5</c:v>
                </c:pt>
                <c:pt idx="2">
                  <c:v>1.9859437869561693E-4</c:v>
                </c:pt>
                <c:pt idx="3">
                  <c:v>8.6281341351545585E-4</c:v>
                </c:pt>
                <c:pt idx="4">
                  <c:v>2.5307388214504609E-3</c:v>
                </c:pt>
                <c:pt idx="5">
                  <c:v>5.8539366926316505E-3</c:v>
                </c:pt>
                <c:pt idx="6">
                  <c:v>1.156455037216992E-2</c:v>
                </c:pt>
                <c:pt idx="7">
                  <c:v>2.043036446658901E-2</c:v>
                </c:pt>
                <c:pt idx="8">
                  <c:v>3.3221306580608678E-2</c:v>
                </c:pt>
                <c:pt idx="9">
                  <c:v>5.0686007497739299E-2</c:v>
                </c:pt>
                <c:pt idx="10">
                  <c:v>7.3536276443909754E-2</c:v>
                </c:pt>
                <c:pt idx="11">
                  <c:v>0.1024374841880128</c:v>
                </c:pt>
                <c:pt idx="12">
                  <c:v>0.13800322016073663</c:v>
                </c:pt>
                <c:pt idx="13">
                  <c:v>0.18079297110948778</c:v>
                </c:pt>
                <c:pt idx="14">
                  <c:v>0.23131189008960262</c:v>
                </c:pt>
                <c:pt idx="15">
                  <c:v>0.29001197563624426</c:v>
                </c:pt>
                <c:pt idx="16">
                  <c:v>0.35729417017193854</c:v>
                </c:pt>
                <c:pt idx="17">
                  <c:v>0.43351102662616525</c:v>
                </c:pt>
                <c:pt idx="18">
                  <c:v>0.51896969461930809</c:v>
                </c:pt>
                <c:pt idx="19">
                  <c:v>0.61393505199130893</c:v>
                </c:pt>
                <c:pt idx="20">
                  <c:v>0.718632861331997</c:v>
                </c:pt>
                <c:pt idx="21">
                  <c:v>0.8332528700311892</c:v>
                </c:pt>
                <c:pt idx="22">
                  <c:v>0.9579518002927494</c:v>
                </c:pt>
                <c:pt idx="23">
                  <c:v>1.0928561955324914</c:v>
                </c:pt>
                <c:pt idx="24">
                  <c:v>1.2380651037796047</c:v>
                </c:pt>
                <c:pt idx="25">
                  <c:v>1.3936525887072073</c:v>
                </c:pt>
                <c:pt idx="26">
                  <c:v>1.5596700658817153</c:v>
                </c:pt>
                <c:pt idx="27">
                  <c:v>1.7361484665806914</c:v>
                </c:pt>
                <c:pt idx="28">
                  <c:v>1.9231002346965105</c:v>
                </c:pt>
                <c:pt idx="29">
                  <c:v>2.120521164264026</c:v>
                </c:pt>
                <c:pt idx="30">
                  <c:v>2.3283920863504299</c:v>
                </c:pt>
                <c:pt idx="31">
                  <c:v>2.5466804146621778</c:v>
                </c:pt>
                <c:pt idx="32">
                  <c:v>2.7753415594313067</c:v>
                </c:pt>
                <c:pt idx="33">
                  <c:v>3.0143202190679306</c:v>
                </c:pt>
                <c:pt idx="34">
                  <c:v>3.2635515587996569</c:v>
                </c:pt>
                <c:pt idx="35">
                  <c:v>3.5229622851289424</c:v>
                </c:pt>
                <c:pt idx="36">
                  <c:v>3.792471624474123</c:v>
                </c:pt>
                <c:pt idx="37">
                  <c:v>4.0719922138534912</c:v>
                </c:pt>
                <c:pt idx="38">
                  <c:v>4.3614309109493252</c:v>
                </c:pt>
                <c:pt idx="39">
                  <c:v>4.6606895303662421</c:v>
                </c:pt>
                <c:pt idx="40">
                  <c:v>4.9696655123884916</c:v>
                </c:pt>
                <c:pt idx="41">
                  <c:v>5.2882525300505669</c:v>
                </c:pt>
                <c:pt idx="42">
                  <c:v>5.6163410398699654</c:v>
                </c:pt>
                <c:pt idx="43">
                  <c:v>5.9538187811530694</c:v>
                </c:pt>
                <c:pt idx="44">
                  <c:v>6.3005712283754534</c:v>
                </c:pt>
                <c:pt idx="45">
                  <c:v>6.656482000757606</c:v>
                </c:pt>
                <c:pt idx="46">
                  <c:v>7.0214332328046147</c:v>
                </c:pt>
                <c:pt idx="47">
                  <c:v>7.3953059092538069</c:v>
                </c:pt>
                <c:pt idx="48">
                  <c:v>7.7779801675751887</c:v>
                </c:pt>
                <c:pt idx="49">
                  <c:v>8.1693355708956847</c:v>
                </c:pt>
                <c:pt idx="50">
                  <c:v>8.5692513539665462</c:v>
                </c:pt>
                <c:pt idx="51">
                  <c:v>8.9776066445638847</c:v>
                </c:pt>
                <c:pt idx="52">
                  <c:v>9.3942806625018811</c:v>
                </c:pt>
                <c:pt idx="53">
                  <c:v>9.8191528982466316</c:v>
                </c:pt>
                <c:pt idx="54">
                  <c:v>10.252103272943712</c:v>
                </c:pt>
                <c:pt idx="55">
                  <c:v>10.693012281512784</c:v>
                </c:pt>
                <c:pt idx="56">
                  <c:v>11.14176112031725</c:v>
                </c:pt>
                <c:pt idx="57">
                  <c:v>11.598231800784641</c:v>
                </c:pt>
                <c:pt idx="58">
                  <c:v>12.062307250231932</c:v>
                </c:pt>
                <c:pt idx="59">
                  <c:v>12.533871401041178</c:v>
                </c:pt>
                <c:pt idx="60">
                  <c:v>13.012809269229297</c:v>
                </c:pt>
                <c:pt idx="61">
                  <c:v>13.4990070233655</c:v>
                </c:pt>
                <c:pt idx="62">
                  <c:v>13.992352044706269</c:v>
                </c:pt>
                <c:pt idx="63">
                  <c:v>14.492732979341916</c:v>
                </c:pt>
                <c:pt idx="64">
                  <c:v>15.00003978307986</c:v>
                </c:pt>
                <c:pt idx="65">
                  <c:v>15.514163759726681</c:v>
                </c:pt>
                <c:pt idx="66">
                  <c:v>16.034997593373514</c:v>
                </c:pt>
                <c:pt idx="67">
                  <c:v>16.56243537523715</c:v>
                </c:pt>
                <c:pt idx="68">
                  <c:v>17.096372625561298</c:v>
                </c:pt>
                <c:pt idx="69">
                  <c:v>17.636706311038953</c:v>
                </c:pt>
                <c:pt idx="70">
                  <c:v>18.183334858177005</c:v>
                </c:pt>
                <c:pt idx="71">
                  <c:v>18.736158162987977</c:v>
                </c:pt>
                <c:pt idx="72">
                  <c:v>19.295077597360624</c:v>
                </c:pt>
                <c:pt idx="73">
                  <c:v>19.859996012430678</c:v>
                </c:pt>
                <c:pt idx="74">
                  <c:v>20.430817739245683</c:v>
                </c:pt>
                <c:pt idx="75">
                  <c:v>21.007448586992343</c:v>
                </c:pt>
                <c:pt idx="76">
                  <c:v>21.589795839031598</c:v>
                </c:pt>
                <c:pt idx="77">
                  <c:v>22.177768246966046</c:v>
                </c:pt>
                <c:pt idx="78">
                  <c:v>22.771276022944246</c:v>
                </c:pt>
                <c:pt idx="79">
                  <c:v>23.370230830389449</c:v>
                </c:pt>
                <c:pt idx="80">
                  <c:v>23.974545773323683</c:v>
                </c:pt>
                <c:pt idx="81">
                  <c:v>24.584135384443602</c:v>
                </c:pt>
                <c:pt idx="82">
                  <c:v>25.198915612090662</c:v>
                </c:pt>
                <c:pt idx="83">
                  <c:v>25.81880380624618</c:v>
                </c:pt>
                <c:pt idx="84">
                  <c:v>26.4437187036701</c:v>
                </c:pt>
                <c:pt idx="85">
                  <c:v>27.073580412291943</c:v>
                </c:pt>
                <c:pt idx="86">
                  <c:v>27.708310394953344</c:v>
                </c:pt>
                <c:pt idx="87">
                  <c:v>28.347831452591883</c:v>
                </c:pt>
                <c:pt idx="88">
                  <c:v>28.992067706949136</c:v>
                </c:pt>
                <c:pt idx="89">
                  <c:v>29.640944582877459</c:v>
                </c:pt>
                <c:pt idx="90">
                  <c:v>30.29438879031386</c:v>
                </c:pt>
                <c:pt idx="91">
                  <c:v>30.952328305983126</c:v>
                </c:pt>
                <c:pt idx="92">
                  <c:v>31.614692354886405</c:v>
                </c:pt>
                <c:pt idx="93">
                  <c:v>32.28141139162669</c:v>
                </c:pt>
                <c:pt idx="94">
                  <c:v>32.952417081617533</c:v>
                </c:pt>
                <c:pt idx="95">
                  <c:v>33.627642282217238</c:v>
                </c:pt>
                <c:pt idx="96">
                  <c:v>34.307021023826422</c:v>
                </c:pt>
                <c:pt idx="97">
                  <c:v>34.990488490983694</c:v>
                </c:pt>
                <c:pt idx="98">
                  <c:v>35.677981003490451</c:v>
                </c:pt>
                <c:pt idx="99">
                  <c:v>36.369435997592596</c:v>
                </c:pt>
                <c:pt idx="100">
                  <c:v>37.06479200724484</c:v>
                </c:pt>
                <c:pt idx="101">
                  <c:v>37.763988645479678</c:v>
                </c:pt>
                <c:pt idx="102">
                  <c:v>38.466966585901744</c:v>
                </c:pt>
                <c:pt idx="103">
                  <c:v>39.173667544325298</c:v>
                </c:pt>
                <c:pt idx="104">
                  <c:v>39.884034260571134</c:v>
                </c:pt>
                <c:pt idx="105">
                  <c:v>40.598010480436976</c:v>
                </c:pt>
                <c:pt idx="106">
                  <c:v>41.315540937854152</c:v>
                </c:pt>
                <c:pt idx="107">
                  <c:v>42.036571337241512</c:v>
                </c:pt>
                <c:pt idx="108">
                  <c:v>42.761048336066288</c:v>
                </c:pt>
                <c:pt idx="109">
                  <c:v>43.488919527620141</c:v>
                </c:pt>
                <c:pt idx="110">
                  <c:v>44.220133424018009</c:v>
                </c:pt>
                <c:pt idx="111">
                  <c:v>44.954639439425485</c:v>
                </c:pt>
                <c:pt idx="112">
                  <c:v>45.692387873520083</c:v>
                </c:pt>
                <c:pt idx="113">
                  <c:v>46.433329895190802</c:v>
                </c:pt>
                <c:pt idx="114">
                  <c:v>47.177417526479331</c:v>
                </c:pt>
                <c:pt idx="115">
                  <c:v>47.92460362676573</c:v>
                </c:pt>
                <c:pt idx="116">
                  <c:v>48.674841877200556</c:v>
                </c:pt>
                <c:pt idx="117">
                  <c:v>49.428086765385117</c:v>
                </c:pt>
                <c:pt idx="118">
                  <c:v>50.184293570300575</c:v>
                </c:pt>
                <c:pt idx="119">
                  <c:v>50.94341834748635</c:v>
                </c:pt>
                <c:pt idx="120">
                  <c:v>51.705417914468022</c:v>
                </c:pt>
                <c:pt idx="121">
                  <c:v>52.470249836433837</c:v>
                </c:pt>
                <c:pt idx="122">
                  <c:v>53.237872412159433</c:v>
                </c:pt>
                <c:pt idx="123">
                  <c:v>54.00824466017955</c:v>
                </c:pt>
                <c:pt idx="124">
                  <c:v>54.781326305204942</c:v>
                </c:pt>
                <c:pt idx="125">
                  <c:v>55.557077764783109</c:v>
                </c:pt>
                <c:pt idx="126">
                  <c:v>56.3354601362011</c:v>
                </c:pt>
                <c:pt idx="127">
                  <c:v>57.116435183627395</c:v>
                </c:pt>
                <c:pt idx="128">
                  <c:v>57.899965325491451</c:v>
                </c:pt>
                <c:pt idx="129">
                  <c:v>58.686013622097803</c:v>
                </c:pt>
                <c:pt idx="130">
                  <c:v>59.474543763472226</c:v>
                </c:pt>
                <c:pt idx="131">
                  <c:v>60.265520057437065</c:v>
                </c:pt>
                <c:pt idx="132">
                  <c:v>61.058907417912927</c:v>
                </c:pt>
                <c:pt idx="133">
                  <c:v>61.854671353443699</c:v>
                </c:pt>
                <c:pt idx="134">
                  <c:v>62.652777955941708</c:v>
                </c:pt>
                <c:pt idx="135">
                  <c:v>63.453193889649953</c:v>
                </c:pt>
                <c:pt idx="136">
                  <c:v>64.25588638031806</c:v>
                </c:pt>
                <c:pt idx="137">
                  <c:v>65.0608232045889</c:v>
                </c:pt>
                <c:pt idx="138">
                  <c:v>65.86797267959227</c:v>
                </c:pt>
                <c:pt idx="139">
                  <c:v>66.677303652742708</c:v>
                </c:pt>
                <c:pt idx="140">
                  <c:v>67.488785491737573</c:v>
                </c:pt>
                <c:pt idx="141">
                  <c:v>68.302388074752429</c:v>
                </c:pt>
                <c:pt idx="142">
                  <c:v>69.118081780830352</c:v>
                </c:pt>
                <c:pt idx="143">
                  <c:v>69.935837480461331</c:v>
                </c:pt>
                <c:pt idx="144">
                  <c:v>70.755626526349147</c:v>
                </c:pt>
                <c:pt idx="145">
                  <c:v>71.577420744361646</c:v>
                </c:pt>
                <c:pt idx="146">
                  <c:v>72.401192424661502</c:v>
                </c:pt>
                <c:pt idx="147">
                  <c:v>73.226914313014078</c:v>
                </c:pt>
                <c:pt idx="148">
                  <c:v>74.054559602269052</c:v>
                </c:pt>
                <c:pt idx="149">
                  <c:v>74.884101924012512</c:v>
                </c:pt>
                <c:pt idx="150">
                  <c:v>75.715515340386247</c:v>
                </c:pt>
                <c:pt idx="151">
                  <c:v>76.54877433607119</c:v>
                </c:pt>
                <c:pt idx="152">
                  <c:v>77.383853810431972</c:v>
                </c:pt>
                <c:pt idx="153">
                  <c:v>78.220729069818816</c:v>
                </c:pt>
                <c:pt idx="154">
                  <c:v>79.0593758200244</c:v>
                </c:pt>
                <c:pt idx="155">
                  <c:v>79.899770158892281</c:v>
                </c:pt>
                <c:pt idx="156">
                  <c:v>80.74188856907395</c:v>
                </c:pt>
                <c:pt idx="157">
                  <c:v>81.585707910931603</c:v>
                </c:pt>
                <c:pt idx="158">
                  <c:v>82.431205415583463</c:v>
                </c:pt>
                <c:pt idx="159">
                  <c:v>83.278358678089091</c:v>
                </c:pt>
                <c:pt idx="160">
                  <c:v>84.127145650771723</c:v>
                </c:pt>
                <c:pt idx="161">
                  <c:v>84.97754463667485</c:v>
                </c:pt>
                <c:pt idx="162">
                  <c:v>85.829534283150124</c:v>
                </c:pt>
                <c:pt idx="163">
                  <c:v>86.683093575574304</c:v>
                </c:pt>
                <c:pt idx="164">
                  <c:v>87.538201831192112</c:v>
                </c:pt>
                <c:pt idx="165">
                  <c:v>88.394838693082932</c:v>
                </c:pt>
                <c:pt idx="166">
                  <c:v>89.252984124248044</c:v>
                </c:pt>
                <c:pt idx="167">
                  <c:v>90.112618401816803</c:v>
                </c:pt>
                <c:pt idx="168">
                  <c:v>90.97372211136863</c:v>
                </c:pt>
                <c:pt idx="169">
                  <c:v>91.836276141368501</c:v>
                </c:pt>
                <c:pt idx="170">
                  <c:v>92.700261677713868</c:v>
                </c:pt>
                <c:pt idx="171">
                  <c:v>93.56566019839029</c:v>
                </c:pt>
                <c:pt idx="172">
                  <c:v>94.432453468233888</c:v>
                </c:pt>
                <c:pt idx="173">
                  <c:v>95.300623533797904</c:v>
                </c:pt>
                <c:pt idx="174">
                  <c:v>96.170152718321788</c:v>
                </c:pt>
                <c:pt idx="175">
                  <c:v>97.041023616799976</c:v>
                </c:pt>
                <c:pt idx="176">
                  <c:v>97.913219091148974</c:v>
                </c:pt>
                <c:pt idx="177">
                  <c:v>98.786722265469876</c:v>
                </c:pt>
                <c:pt idx="178">
                  <c:v>99.661516521405161</c:v>
                </c:pt>
                <c:pt idx="179">
                  <c:v>100.53758549358716</c:v>
                </c:pt>
                <c:pt idx="180">
                  <c:v>101.41491306517626</c:v>
                </c:pt>
                <c:pt idx="181">
                  <c:v>102.29348336348758</c:v>
                </c:pt>
                <c:pt idx="182">
                  <c:v>103.17328075570342</c:v>
                </c:pt>
                <c:pt idx="183">
                  <c:v>104.05428984467028</c:v>
                </c:pt>
                <c:pt idx="184">
                  <c:v>104.93649546477846</c:v>
                </c:pt>
                <c:pt idx="185">
                  <c:v>105.81988267792219</c:v>
                </c:pt>
                <c:pt idx="186">
                  <c:v>106.70443676953936</c:v>
                </c:pt>
                <c:pt idx="187">
                  <c:v>107.59014324472824</c:v>
                </c:pt>
                <c:pt idx="188">
                  <c:v>108.47698782444024</c:v>
                </c:pt>
                <c:pt idx="189">
                  <c:v>109.36495644174698</c:v>
                </c:pt>
                <c:pt idx="190">
                  <c:v>110.25403523817957</c:v>
                </c:pt>
                <c:pt idx="191">
                  <c:v>111.14421056013963</c:v>
                </c:pt>
                <c:pt idx="192">
                  <c:v>112.03546895537934</c:v>
                </c:pt>
                <c:pt idx="193">
                  <c:v>112.92779716954999</c:v>
                </c:pt>
                <c:pt idx="194">
                  <c:v>113.82118214281704</c:v>
                </c:pt>
                <c:pt idx="195">
                  <c:v>114.71561100654064</c:v>
                </c:pt>
                <c:pt idx="196">
                  <c:v>115.61107108002014</c:v>
                </c:pt>
                <c:pt idx="197">
                  <c:v>116.50754986730065</c:v>
                </c:pt>
                <c:pt idx="198">
                  <c:v>117.40503505404175</c:v>
                </c:pt>
                <c:pt idx="199">
                  <c:v>118.30351450444539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0-4E3A-BF70-58731F2D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963264"/>
        <c:axId val="1965186240"/>
      </c:lineChart>
      <c:catAx>
        <c:axId val="208396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5186240"/>
        <c:crosses val="autoZero"/>
        <c:auto val="1"/>
        <c:lblAlgn val="ctr"/>
        <c:lblOffset val="100"/>
        <c:noMultiLvlLbl val="0"/>
      </c:catAx>
      <c:valAx>
        <c:axId val="19651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396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'Profil Action '!$G$4</c:f>
              <c:strCache>
                <c:ptCount val="1"/>
                <c:pt idx="0">
                  <c:v>PNL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2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'Profil Action '!$G$5:$G$204</c:f>
              <c:numCache>
                <c:formatCode>_("€"* #,##0.00_);_("€"* \(#,##0.00\);_("€"* "-"??_);_(@_)</c:formatCode>
                <c:ptCount val="200"/>
                <c:pt idx="0">
                  <c:v>-2474.9999996933138</c:v>
                </c:pt>
                <c:pt idx="1">
                  <c:v>-2449.9999786129279</c:v>
                </c:pt>
                <c:pt idx="2">
                  <c:v>-2424.9998014056214</c:v>
                </c:pt>
                <c:pt idx="3">
                  <c:v>-2399.9991371865863</c:v>
                </c:pt>
                <c:pt idx="4">
                  <c:v>-2374.9974692611786</c:v>
                </c:pt>
                <c:pt idx="5">
                  <c:v>-2349.9941460633072</c:v>
                </c:pt>
                <c:pt idx="6">
                  <c:v>-2324.988435449628</c:v>
                </c:pt>
                <c:pt idx="7">
                  <c:v>-2299.9795696355336</c:v>
                </c:pt>
                <c:pt idx="8">
                  <c:v>-2274.9667786934192</c:v>
                </c:pt>
                <c:pt idx="9">
                  <c:v>-2249.9493139925021</c:v>
                </c:pt>
                <c:pt idx="10">
                  <c:v>-2224.926463723556</c:v>
                </c:pt>
                <c:pt idx="11">
                  <c:v>-2199.8975625158118</c:v>
                </c:pt>
                <c:pt idx="12">
                  <c:v>-2174.861996779839</c:v>
                </c:pt>
                <c:pt idx="13">
                  <c:v>-2149.8192070288906</c:v>
                </c:pt>
                <c:pt idx="14">
                  <c:v>-2124.7686881099103</c:v>
                </c:pt>
                <c:pt idx="15">
                  <c:v>-2099.7099880243636</c:v>
                </c:pt>
                <c:pt idx="16">
                  <c:v>-2074.6427058298282</c:v>
                </c:pt>
                <c:pt idx="17">
                  <c:v>-2049.5664889733739</c:v>
                </c:pt>
                <c:pt idx="18">
                  <c:v>-2024.4810303053807</c:v>
                </c:pt>
                <c:pt idx="19">
                  <c:v>-1999.3860649480087</c:v>
                </c:pt>
                <c:pt idx="20">
                  <c:v>-1974.281367138668</c:v>
                </c:pt>
                <c:pt idx="21">
                  <c:v>-1949.1667471299688</c:v>
                </c:pt>
                <c:pt idx="22">
                  <c:v>-1924.0420481997073</c:v>
                </c:pt>
                <c:pt idx="23">
                  <c:v>-1898.9071438044675</c:v>
                </c:pt>
                <c:pt idx="24">
                  <c:v>-1873.7619348962203</c:v>
                </c:pt>
                <c:pt idx="25">
                  <c:v>-1848.6063474112927</c:v>
                </c:pt>
                <c:pt idx="26">
                  <c:v>-1823.4403299341184</c:v>
                </c:pt>
                <c:pt idx="27">
                  <c:v>-1798.2638515334193</c:v>
                </c:pt>
                <c:pt idx="28">
                  <c:v>-1773.0768997653036</c:v>
                </c:pt>
                <c:pt idx="29">
                  <c:v>-1747.8794788357359</c:v>
                </c:pt>
                <c:pt idx="30">
                  <c:v>-1722.6716079136495</c:v>
                </c:pt>
                <c:pt idx="31">
                  <c:v>-1697.4533195853378</c:v>
                </c:pt>
                <c:pt idx="32">
                  <c:v>-1672.2246584405686</c:v>
                </c:pt>
                <c:pt idx="33">
                  <c:v>-1646.9856797809321</c:v>
                </c:pt>
                <c:pt idx="34">
                  <c:v>-1621.7364484412003</c:v>
                </c:pt>
                <c:pt idx="35">
                  <c:v>-1596.4770377148711</c:v>
                </c:pt>
                <c:pt idx="36">
                  <c:v>-1571.207528375526</c:v>
                </c:pt>
                <c:pt idx="37">
                  <c:v>-1545.9280077861465</c:v>
                </c:pt>
                <c:pt idx="38">
                  <c:v>-1520.6385690890506</c:v>
                </c:pt>
                <c:pt idx="39">
                  <c:v>-1495.3393104696338</c:v>
                </c:pt>
                <c:pt idx="40">
                  <c:v>-1470.0303344876115</c:v>
                </c:pt>
                <c:pt idx="41">
                  <c:v>-1444.7117474699494</c:v>
                </c:pt>
                <c:pt idx="42">
                  <c:v>-1419.3836589601301</c:v>
                </c:pt>
                <c:pt idx="43">
                  <c:v>-1394.0461812188469</c:v>
                </c:pt>
                <c:pt idx="44">
                  <c:v>-1368.6994287716245</c:v>
                </c:pt>
                <c:pt idx="45">
                  <c:v>-1343.3435179992423</c:v>
                </c:pt>
                <c:pt idx="46">
                  <c:v>-1317.9785667671954</c:v>
                </c:pt>
                <c:pt idx="47">
                  <c:v>-1292.6046940907463</c:v>
                </c:pt>
                <c:pt idx="48">
                  <c:v>-1267.2220198324248</c:v>
                </c:pt>
                <c:pt idx="49">
                  <c:v>-1241.8306644291042</c:v>
                </c:pt>
                <c:pt idx="50">
                  <c:v>-1216.4307486460334</c:v>
                </c:pt>
                <c:pt idx="51">
                  <c:v>-1191.0223933554362</c:v>
                </c:pt>
                <c:pt idx="52">
                  <c:v>-1165.6057193374982</c:v>
                </c:pt>
                <c:pt idx="53">
                  <c:v>-1140.1808471017534</c:v>
                </c:pt>
                <c:pt idx="54">
                  <c:v>-1114.7478967270563</c:v>
                </c:pt>
                <c:pt idx="55">
                  <c:v>-1089.3069877184871</c:v>
                </c:pt>
                <c:pt idx="56">
                  <c:v>-1063.8582388796829</c:v>
                </c:pt>
                <c:pt idx="57">
                  <c:v>-1038.4017681992154</c:v>
                </c:pt>
                <c:pt idx="58">
                  <c:v>-1012.9376927497681</c:v>
                </c:pt>
                <c:pt idx="59">
                  <c:v>-987.46612859895879</c:v>
                </c:pt>
                <c:pt idx="60">
                  <c:v>-961.98719073077075</c:v>
                </c:pt>
                <c:pt idx="61">
                  <c:v>-936.50099297663451</c:v>
                </c:pt>
                <c:pt idx="62">
                  <c:v>-911.00764795529369</c:v>
                </c:pt>
                <c:pt idx="63">
                  <c:v>-885.50726702065811</c:v>
                </c:pt>
                <c:pt idx="64">
                  <c:v>-859.99996021692016</c:v>
                </c:pt>
                <c:pt idx="65">
                  <c:v>-834.48583624027333</c:v>
                </c:pt>
                <c:pt idx="66">
                  <c:v>-808.96500240662647</c:v>
                </c:pt>
                <c:pt idx="67">
                  <c:v>-783.4375646247629</c:v>
                </c:pt>
                <c:pt idx="68">
                  <c:v>-757.90362737443866</c:v>
                </c:pt>
                <c:pt idx="69">
                  <c:v>-732.36329368896099</c:v>
                </c:pt>
                <c:pt idx="70">
                  <c:v>-706.81666514182302</c:v>
                </c:pt>
                <c:pt idx="71">
                  <c:v>-681.26384183701202</c:v>
                </c:pt>
                <c:pt idx="72">
                  <c:v>-655.70492240263934</c:v>
                </c:pt>
                <c:pt idx="73">
                  <c:v>-630.14000398756934</c:v>
                </c:pt>
                <c:pt idx="74">
                  <c:v>-604.56918226075436</c:v>
                </c:pt>
                <c:pt idx="75">
                  <c:v>-578.99255141300762</c:v>
                </c:pt>
                <c:pt idx="76">
                  <c:v>-553.41020416096842</c:v>
                </c:pt>
                <c:pt idx="77">
                  <c:v>-527.82223175303398</c:v>
                </c:pt>
                <c:pt idx="78">
                  <c:v>-502.22872397705578</c:v>
                </c:pt>
                <c:pt idx="79">
                  <c:v>-476.62976916961054</c:v>
                </c:pt>
                <c:pt idx="80">
                  <c:v>-451.02545422667629</c:v>
                </c:pt>
                <c:pt idx="81">
                  <c:v>-425.41586461555642</c:v>
                </c:pt>
                <c:pt idx="82">
                  <c:v>-399.80108438790933</c:v>
                </c:pt>
                <c:pt idx="83">
                  <c:v>-374.18119619375381</c:v>
                </c:pt>
                <c:pt idx="84">
                  <c:v>-348.55628129632987</c:v>
                </c:pt>
                <c:pt idx="85">
                  <c:v>-322.92641958770804</c:v>
                </c:pt>
                <c:pt idx="86">
                  <c:v>-297.29168960504666</c:v>
                </c:pt>
                <c:pt idx="87">
                  <c:v>-271.65216854740811</c:v>
                </c:pt>
                <c:pt idx="88">
                  <c:v>-246.00793229305086</c:v>
                </c:pt>
                <c:pt idx="89">
                  <c:v>-220.35905541712253</c:v>
                </c:pt>
                <c:pt idx="90">
                  <c:v>-194.70561120968614</c:v>
                </c:pt>
                <c:pt idx="91">
                  <c:v>-169.04767169401688</c:v>
                </c:pt>
                <c:pt idx="92">
                  <c:v>-143.38530764511358</c:v>
                </c:pt>
                <c:pt idx="93">
                  <c:v>-117.71858860837331</c:v>
                </c:pt>
                <c:pt idx="94">
                  <c:v>-92.04758291838246</c:v>
                </c:pt>
                <c:pt idx="95">
                  <c:v>-66.372357717782762</c:v>
                </c:pt>
                <c:pt idx="96">
                  <c:v>-40.692978976173578</c:v>
                </c:pt>
                <c:pt idx="97">
                  <c:v>-15.009511509016306</c:v>
                </c:pt>
                <c:pt idx="98">
                  <c:v>10.677981003490451</c:v>
                </c:pt>
                <c:pt idx="99">
                  <c:v>36.369435997592596</c:v>
                </c:pt>
                <c:pt idx="100">
                  <c:v>62.06479200724484</c:v>
                </c:pt>
                <c:pt idx="101">
                  <c:v>87.763988645479685</c:v>
                </c:pt>
                <c:pt idx="102">
                  <c:v>113.46696658590174</c:v>
                </c:pt>
                <c:pt idx="103">
                  <c:v>139.1736675443253</c:v>
                </c:pt>
                <c:pt idx="104">
                  <c:v>164.88403426057113</c:v>
                </c:pt>
                <c:pt idx="105">
                  <c:v>190.59801048043698</c:v>
                </c:pt>
                <c:pt idx="106">
                  <c:v>216.31554093785417</c:v>
                </c:pt>
                <c:pt idx="107">
                  <c:v>242.03657133724153</c:v>
                </c:pt>
                <c:pt idx="108">
                  <c:v>267.76104833606627</c:v>
                </c:pt>
                <c:pt idx="109">
                  <c:v>293.48891952762017</c:v>
                </c:pt>
                <c:pt idx="110">
                  <c:v>319.220133424018</c:v>
                </c:pt>
                <c:pt idx="111">
                  <c:v>344.95463943942548</c:v>
                </c:pt>
                <c:pt idx="112">
                  <c:v>370.69238787352009</c:v>
                </c:pt>
                <c:pt idx="113">
                  <c:v>396.43332989519081</c:v>
                </c:pt>
                <c:pt idx="114">
                  <c:v>422.1774175264793</c:v>
                </c:pt>
                <c:pt idx="115">
                  <c:v>447.9246036267657</c:v>
                </c:pt>
                <c:pt idx="116">
                  <c:v>473.67484187720055</c:v>
                </c:pt>
                <c:pt idx="117">
                  <c:v>499.4280867653851</c:v>
                </c:pt>
                <c:pt idx="118">
                  <c:v>525.18429357030061</c:v>
                </c:pt>
                <c:pt idx="119">
                  <c:v>550.94341834748639</c:v>
                </c:pt>
                <c:pt idx="120">
                  <c:v>576.70541791446806</c:v>
                </c:pt>
                <c:pt idx="121">
                  <c:v>602.47024983643382</c:v>
                </c:pt>
                <c:pt idx="122">
                  <c:v>628.23787241215939</c:v>
                </c:pt>
                <c:pt idx="123">
                  <c:v>654.00824466017957</c:v>
                </c:pt>
                <c:pt idx="124">
                  <c:v>679.78132630520497</c:v>
                </c:pt>
                <c:pt idx="125">
                  <c:v>705.55707776478312</c:v>
                </c:pt>
                <c:pt idx="126">
                  <c:v>731.33546013620105</c:v>
                </c:pt>
                <c:pt idx="127">
                  <c:v>757.11643518362735</c:v>
                </c:pt>
                <c:pt idx="128">
                  <c:v>782.89996532549139</c:v>
                </c:pt>
                <c:pt idx="129">
                  <c:v>808.68601362209779</c:v>
                </c:pt>
                <c:pt idx="130">
                  <c:v>834.47454376347218</c:v>
                </c:pt>
                <c:pt idx="131">
                  <c:v>860.26552005743702</c:v>
                </c:pt>
                <c:pt idx="132">
                  <c:v>886.05890741791291</c:v>
                </c:pt>
                <c:pt idx="133">
                  <c:v>911.85467135344368</c:v>
                </c:pt>
                <c:pt idx="134">
                  <c:v>937.6527779559417</c:v>
                </c:pt>
                <c:pt idx="135">
                  <c:v>963.45319388964992</c:v>
                </c:pt>
                <c:pt idx="136">
                  <c:v>989.25588638031809</c:v>
                </c:pt>
                <c:pt idx="137">
                  <c:v>1015.0608232045889</c:v>
                </c:pt>
                <c:pt idx="138">
                  <c:v>1040.8679726795922</c:v>
                </c:pt>
                <c:pt idx="139">
                  <c:v>1066.6773036527427</c:v>
                </c:pt>
                <c:pt idx="140">
                  <c:v>1092.4887854917376</c:v>
                </c:pt>
                <c:pt idx="141">
                  <c:v>1118.3023880747523</c:v>
                </c:pt>
                <c:pt idx="142">
                  <c:v>1144.1180817808304</c:v>
                </c:pt>
                <c:pt idx="143">
                  <c:v>1169.9358374804613</c:v>
                </c:pt>
                <c:pt idx="144">
                  <c:v>1195.7556265263493</c:v>
                </c:pt>
                <c:pt idx="145">
                  <c:v>1221.5774207443617</c:v>
                </c:pt>
                <c:pt idx="146">
                  <c:v>1247.4011924246615</c:v>
                </c:pt>
                <c:pt idx="147">
                  <c:v>1273.226914313014</c:v>
                </c:pt>
                <c:pt idx="148">
                  <c:v>1299.0545596022691</c:v>
                </c:pt>
                <c:pt idx="149">
                  <c:v>1324.8841019240126</c:v>
                </c:pt>
                <c:pt idx="150">
                  <c:v>1350.7155153403862</c:v>
                </c:pt>
                <c:pt idx="151">
                  <c:v>1376.5487743360711</c:v>
                </c:pt>
                <c:pt idx="152">
                  <c:v>1402.3838538104319</c:v>
                </c:pt>
                <c:pt idx="153">
                  <c:v>1428.2207290698188</c:v>
                </c:pt>
                <c:pt idx="154">
                  <c:v>1454.0593758200243</c:v>
                </c:pt>
                <c:pt idx="155">
                  <c:v>1479.8997701588924</c:v>
                </c:pt>
                <c:pt idx="156">
                  <c:v>1505.741888569074</c:v>
                </c:pt>
                <c:pt idx="157">
                  <c:v>1531.5857079109317</c:v>
                </c:pt>
                <c:pt idx="158">
                  <c:v>1557.4312054155835</c:v>
                </c:pt>
                <c:pt idx="159">
                  <c:v>1583.278358678089</c:v>
                </c:pt>
                <c:pt idx="160">
                  <c:v>1609.1271456507718</c:v>
                </c:pt>
                <c:pt idx="161">
                  <c:v>1634.9775446366748</c:v>
                </c:pt>
                <c:pt idx="162">
                  <c:v>1660.8295342831502</c:v>
                </c:pt>
                <c:pt idx="163">
                  <c:v>1686.6830935755743</c:v>
                </c:pt>
                <c:pt idx="164">
                  <c:v>1712.5382018311921</c:v>
                </c:pt>
                <c:pt idx="165">
                  <c:v>1738.3948386930829</c:v>
                </c:pt>
                <c:pt idx="166">
                  <c:v>1764.2529841242481</c:v>
                </c:pt>
                <c:pt idx="167">
                  <c:v>1790.1126184018167</c:v>
                </c:pt>
                <c:pt idx="168">
                  <c:v>1815.9737221113687</c:v>
                </c:pt>
                <c:pt idx="169">
                  <c:v>1841.8362761413684</c:v>
                </c:pt>
                <c:pt idx="170">
                  <c:v>1867.7002616777138</c:v>
                </c:pt>
                <c:pt idx="171">
                  <c:v>1893.5656601983903</c:v>
                </c:pt>
                <c:pt idx="172">
                  <c:v>1919.4324534682339</c:v>
                </c:pt>
                <c:pt idx="173">
                  <c:v>1945.300623533798</c:v>
                </c:pt>
                <c:pt idx="174">
                  <c:v>1971.1701527183218</c:v>
                </c:pt>
                <c:pt idx="175">
                  <c:v>1997.0410236168</c:v>
                </c:pt>
                <c:pt idx="176">
                  <c:v>2022.9132190911489</c:v>
                </c:pt>
                <c:pt idx="177">
                  <c:v>2048.78672226547</c:v>
                </c:pt>
                <c:pt idx="178">
                  <c:v>2074.6615165214052</c:v>
                </c:pt>
                <c:pt idx="179">
                  <c:v>2100.5375854935874</c:v>
                </c:pt>
                <c:pt idx="180">
                  <c:v>2126.4149130651763</c:v>
                </c:pt>
                <c:pt idx="181">
                  <c:v>2152.2934833634877</c:v>
                </c:pt>
                <c:pt idx="182">
                  <c:v>2178.1732807557032</c:v>
                </c:pt>
                <c:pt idx="183">
                  <c:v>2204.0542898446702</c:v>
                </c:pt>
                <c:pt idx="184">
                  <c:v>2229.9364954647785</c:v>
                </c:pt>
                <c:pt idx="185">
                  <c:v>2255.8198826779221</c:v>
                </c:pt>
                <c:pt idx="186">
                  <c:v>2281.7044367695394</c:v>
                </c:pt>
                <c:pt idx="187">
                  <c:v>2307.5901432447281</c:v>
                </c:pt>
                <c:pt idx="188">
                  <c:v>2333.4769878244401</c:v>
                </c:pt>
                <c:pt idx="189">
                  <c:v>2359.3649564417469</c:v>
                </c:pt>
                <c:pt idx="190">
                  <c:v>2385.2540352381798</c:v>
                </c:pt>
                <c:pt idx="191">
                  <c:v>2411.1442105601395</c:v>
                </c:pt>
                <c:pt idx="192">
                  <c:v>2437.0354689553792</c:v>
                </c:pt>
                <c:pt idx="193">
                  <c:v>2462.9277971695501</c:v>
                </c:pt>
                <c:pt idx="194">
                  <c:v>2488.8211821428172</c:v>
                </c:pt>
                <c:pt idx="195">
                  <c:v>2514.7156110065407</c:v>
                </c:pt>
                <c:pt idx="196">
                  <c:v>2540.6110710800203</c:v>
                </c:pt>
                <c:pt idx="197">
                  <c:v>2566.5075498673004</c:v>
                </c:pt>
                <c:pt idx="198">
                  <c:v>2592.4050350540419</c:v>
                </c:pt>
                <c:pt idx="199">
                  <c:v>2618.3035145044455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0-4C2B-A6F0-09BBCF169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097136"/>
        <c:axId val="1965190816"/>
      </c:scatterChart>
      <c:valAx>
        <c:axId val="170709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5190816"/>
        <c:crosses val="autoZero"/>
        <c:crossBetween val="midCat"/>
      </c:valAx>
      <c:valAx>
        <c:axId val="19651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'Profil Action '!$G$4</c:f>
              <c:strCache>
                <c:ptCount val="1"/>
                <c:pt idx="0">
                  <c:v>PNL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2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'Profil Action '!$G$5:$G$204</c:f>
              <c:numCache>
                <c:formatCode>_("€"* #,##0.00_);_("€"* \(#,##0.00\);_("€"* "-"??_);_(@_)</c:formatCode>
                <c:ptCount val="200"/>
                <c:pt idx="0">
                  <c:v>-2474.9999996933138</c:v>
                </c:pt>
                <c:pt idx="1">
                  <c:v>-2449.9999786129279</c:v>
                </c:pt>
                <c:pt idx="2">
                  <c:v>-2424.9998014056214</c:v>
                </c:pt>
                <c:pt idx="3">
                  <c:v>-2399.9991371865863</c:v>
                </c:pt>
                <c:pt idx="4">
                  <c:v>-2374.9974692611786</c:v>
                </c:pt>
                <c:pt idx="5">
                  <c:v>-2349.9941460633072</c:v>
                </c:pt>
                <c:pt idx="6">
                  <c:v>-2324.988435449628</c:v>
                </c:pt>
                <c:pt idx="7">
                  <c:v>-2299.9795696355336</c:v>
                </c:pt>
                <c:pt idx="8">
                  <c:v>-2274.9667786934192</c:v>
                </c:pt>
                <c:pt idx="9">
                  <c:v>-2249.9493139925021</c:v>
                </c:pt>
                <c:pt idx="10">
                  <c:v>-2224.926463723556</c:v>
                </c:pt>
                <c:pt idx="11">
                  <c:v>-2199.8975625158118</c:v>
                </c:pt>
                <c:pt idx="12">
                  <c:v>-2174.861996779839</c:v>
                </c:pt>
                <c:pt idx="13">
                  <c:v>-2149.8192070288906</c:v>
                </c:pt>
                <c:pt idx="14">
                  <c:v>-2124.7686881099103</c:v>
                </c:pt>
                <c:pt idx="15">
                  <c:v>-2099.7099880243636</c:v>
                </c:pt>
                <c:pt idx="16">
                  <c:v>-2074.6427058298282</c:v>
                </c:pt>
                <c:pt idx="17">
                  <c:v>-2049.5664889733739</c:v>
                </c:pt>
                <c:pt idx="18">
                  <c:v>-2024.4810303053807</c:v>
                </c:pt>
                <c:pt idx="19">
                  <c:v>-1999.3860649480087</c:v>
                </c:pt>
                <c:pt idx="20">
                  <c:v>-1974.281367138668</c:v>
                </c:pt>
                <c:pt idx="21">
                  <c:v>-1949.1667471299688</c:v>
                </c:pt>
                <c:pt idx="22">
                  <c:v>-1924.0420481997073</c:v>
                </c:pt>
                <c:pt idx="23">
                  <c:v>-1898.9071438044675</c:v>
                </c:pt>
                <c:pt idx="24">
                  <c:v>-1873.7619348962203</c:v>
                </c:pt>
                <c:pt idx="25">
                  <c:v>-1848.6063474112927</c:v>
                </c:pt>
                <c:pt idx="26">
                  <c:v>-1823.4403299341184</c:v>
                </c:pt>
                <c:pt idx="27">
                  <c:v>-1798.2638515334193</c:v>
                </c:pt>
                <c:pt idx="28">
                  <c:v>-1773.0768997653036</c:v>
                </c:pt>
                <c:pt idx="29">
                  <c:v>-1747.8794788357359</c:v>
                </c:pt>
                <c:pt idx="30">
                  <c:v>-1722.6716079136495</c:v>
                </c:pt>
                <c:pt idx="31">
                  <c:v>-1697.4533195853378</c:v>
                </c:pt>
                <c:pt idx="32">
                  <c:v>-1672.2246584405686</c:v>
                </c:pt>
                <c:pt idx="33">
                  <c:v>-1646.9856797809321</c:v>
                </c:pt>
                <c:pt idx="34">
                  <c:v>-1621.7364484412003</c:v>
                </c:pt>
                <c:pt idx="35">
                  <c:v>-1596.4770377148711</c:v>
                </c:pt>
                <c:pt idx="36">
                  <c:v>-1571.207528375526</c:v>
                </c:pt>
                <c:pt idx="37">
                  <c:v>-1545.9280077861465</c:v>
                </c:pt>
                <c:pt idx="38">
                  <c:v>-1520.6385690890506</c:v>
                </c:pt>
                <c:pt idx="39">
                  <c:v>-1495.3393104696338</c:v>
                </c:pt>
                <c:pt idx="40">
                  <c:v>-1470.0303344876115</c:v>
                </c:pt>
                <c:pt idx="41">
                  <c:v>-1444.7117474699494</c:v>
                </c:pt>
                <c:pt idx="42">
                  <c:v>-1419.3836589601301</c:v>
                </c:pt>
                <c:pt idx="43">
                  <c:v>-1394.0461812188469</c:v>
                </c:pt>
                <c:pt idx="44">
                  <c:v>-1368.6994287716245</c:v>
                </c:pt>
                <c:pt idx="45">
                  <c:v>-1343.3435179992423</c:v>
                </c:pt>
                <c:pt idx="46">
                  <c:v>-1317.9785667671954</c:v>
                </c:pt>
                <c:pt idx="47">
                  <c:v>-1292.6046940907463</c:v>
                </c:pt>
                <c:pt idx="48">
                  <c:v>-1267.2220198324248</c:v>
                </c:pt>
                <c:pt idx="49">
                  <c:v>-1241.8306644291042</c:v>
                </c:pt>
                <c:pt idx="50">
                  <c:v>-1216.4307486460334</c:v>
                </c:pt>
                <c:pt idx="51">
                  <c:v>-1191.0223933554362</c:v>
                </c:pt>
                <c:pt idx="52">
                  <c:v>-1165.6057193374982</c:v>
                </c:pt>
                <c:pt idx="53">
                  <c:v>-1140.1808471017534</c:v>
                </c:pt>
                <c:pt idx="54">
                  <c:v>-1114.7478967270563</c:v>
                </c:pt>
                <c:pt idx="55">
                  <c:v>-1089.3069877184871</c:v>
                </c:pt>
                <c:pt idx="56">
                  <c:v>-1063.8582388796829</c:v>
                </c:pt>
                <c:pt idx="57">
                  <c:v>-1038.4017681992154</c:v>
                </c:pt>
                <c:pt idx="58">
                  <c:v>-1012.9376927497681</c:v>
                </c:pt>
                <c:pt idx="59">
                  <c:v>-987.46612859895879</c:v>
                </c:pt>
                <c:pt idx="60">
                  <c:v>-961.98719073077075</c:v>
                </c:pt>
                <c:pt idx="61">
                  <c:v>-936.50099297663451</c:v>
                </c:pt>
                <c:pt idx="62">
                  <c:v>-911.00764795529369</c:v>
                </c:pt>
                <c:pt idx="63">
                  <c:v>-885.50726702065811</c:v>
                </c:pt>
                <c:pt idx="64">
                  <c:v>-859.99996021692016</c:v>
                </c:pt>
                <c:pt idx="65">
                  <c:v>-834.48583624027333</c:v>
                </c:pt>
                <c:pt idx="66">
                  <c:v>-808.96500240662647</c:v>
                </c:pt>
                <c:pt idx="67">
                  <c:v>-783.4375646247629</c:v>
                </c:pt>
                <c:pt idx="68">
                  <c:v>-757.90362737443866</c:v>
                </c:pt>
                <c:pt idx="69">
                  <c:v>-732.36329368896099</c:v>
                </c:pt>
                <c:pt idx="70">
                  <c:v>-706.81666514182302</c:v>
                </c:pt>
                <c:pt idx="71">
                  <c:v>-681.26384183701202</c:v>
                </c:pt>
                <c:pt idx="72">
                  <c:v>-655.70492240263934</c:v>
                </c:pt>
                <c:pt idx="73">
                  <c:v>-630.14000398756934</c:v>
                </c:pt>
                <c:pt idx="74">
                  <c:v>-604.56918226075436</c:v>
                </c:pt>
                <c:pt idx="75">
                  <c:v>-578.99255141300762</c:v>
                </c:pt>
                <c:pt idx="76">
                  <c:v>-553.41020416096842</c:v>
                </c:pt>
                <c:pt idx="77">
                  <c:v>-527.82223175303398</c:v>
                </c:pt>
                <c:pt idx="78">
                  <c:v>-502.22872397705578</c:v>
                </c:pt>
                <c:pt idx="79">
                  <c:v>-476.62976916961054</c:v>
                </c:pt>
                <c:pt idx="80">
                  <c:v>-451.02545422667629</c:v>
                </c:pt>
                <c:pt idx="81">
                  <c:v>-425.41586461555642</c:v>
                </c:pt>
                <c:pt idx="82">
                  <c:v>-399.80108438790933</c:v>
                </c:pt>
                <c:pt idx="83">
                  <c:v>-374.18119619375381</c:v>
                </c:pt>
                <c:pt idx="84">
                  <c:v>-348.55628129632987</c:v>
                </c:pt>
                <c:pt idx="85">
                  <c:v>-322.92641958770804</c:v>
                </c:pt>
                <c:pt idx="86">
                  <c:v>-297.29168960504666</c:v>
                </c:pt>
                <c:pt idx="87">
                  <c:v>-271.65216854740811</c:v>
                </c:pt>
                <c:pt idx="88">
                  <c:v>-246.00793229305086</c:v>
                </c:pt>
                <c:pt idx="89">
                  <c:v>-220.35905541712253</c:v>
                </c:pt>
                <c:pt idx="90">
                  <c:v>-194.70561120968614</c:v>
                </c:pt>
                <c:pt idx="91">
                  <c:v>-169.04767169401688</c:v>
                </c:pt>
                <c:pt idx="92">
                  <c:v>-143.38530764511358</c:v>
                </c:pt>
                <c:pt idx="93">
                  <c:v>-117.71858860837331</c:v>
                </c:pt>
                <c:pt idx="94">
                  <c:v>-92.04758291838246</c:v>
                </c:pt>
                <c:pt idx="95">
                  <c:v>-66.372357717782762</c:v>
                </c:pt>
                <c:pt idx="96">
                  <c:v>-40.692978976173578</c:v>
                </c:pt>
                <c:pt idx="97">
                  <c:v>-15.009511509016306</c:v>
                </c:pt>
                <c:pt idx="98">
                  <c:v>10.677981003490451</c:v>
                </c:pt>
                <c:pt idx="99">
                  <c:v>36.369435997592596</c:v>
                </c:pt>
                <c:pt idx="100">
                  <c:v>62.06479200724484</c:v>
                </c:pt>
                <c:pt idx="101">
                  <c:v>87.763988645479685</c:v>
                </c:pt>
                <c:pt idx="102">
                  <c:v>113.46696658590174</c:v>
                </c:pt>
                <c:pt idx="103">
                  <c:v>139.1736675443253</c:v>
                </c:pt>
                <c:pt idx="104">
                  <c:v>164.88403426057113</c:v>
                </c:pt>
                <c:pt idx="105">
                  <c:v>190.59801048043698</c:v>
                </c:pt>
                <c:pt idx="106">
                  <c:v>216.31554093785417</c:v>
                </c:pt>
                <c:pt idx="107">
                  <c:v>242.03657133724153</c:v>
                </c:pt>
                <c:pt idx="108">
                  <c:v>267.76104833606627</c:v>
                </c:pt>
                <c:pt idx="109">
                  <c:v>293.48891952762017</c:v>
                </c:pt>
                <c:pt idx="110">
                  <c:v>319.220133424018</c:v>
                </c:pt>
                <c:pt idx="111">
                  <c:v>344.95463943942548</c:v>
                </c:pt>
                <c:pt idx="112">
                  <c:v>370.69238787352009</c:v>
                </c:pt>
                <c:pt idx="113">
                  <c:v>396.43332989519081</c:v>
                </c:pt>
                <c:pt idx="114">
                  <c:v>422.1774175264793</c:v>
                </c:pt>
                <c:pt idx="115">
                  <c:v>447.9246036267657</c:v>
                </c:pt>
                <c:pt idx="116">
                  <c:v>473.67484187720055</c:v>
                </c:pt>
                <c:pt idx="117">
                  <c:v>499.4280867653851</c:v>
                </c:pt>
                <c:pt idx="118">
                  <c:v>525.18429357030061</c:v>
                </c:pt>
                <c:pt idx="119">
                  <c:v>550.94341834748639</c:v>
                </c:pt>
                <c:pt idx="120">
                  <c:v>576.70541791446806</c:v>
                </c:pt>
                <c:pt idx="121">
                  <c:v>602.47024983643382</c:v>
                </c:pt>
                <c:pt idx="122">
                  <c:v>628.23787241215939</c:v>
                </c:pt>
                <c:pt idx="123">
                  <c:v>654.00824466017957</c:v>
                </c:pt>
                <c:pt idx="124">
                  <c:v>679.78132630520497</c:v>
                </c:pt>
                <c:pt idx="125">
                  <c:v>705.55707776478312</c:v>
                </c:pt>
                <c:pt idx="126">
                  <c:v>731.33546013620105</c:v>
                </c:pt>
                <c:pt idx="127">
                  <c:v>757.11643518362735</c:v>
                </c:pt>
                <c:pt idx="128">
                  <c:v>782.89996532549139</c:v>
                </c:pt>
                <c:pt idx="129">
                  <c:v>808.68601362209779</c:v>
                </c:pt>
                <c:pt idx="130">
                  <c:v>834.47454376347218</c:v>
                </c:pt>
                <c:pt idx="131">
                  <c:v>860.26552005743702</c:v>
                </c:pt>
                <c:pt idx="132">
                  <c:v>886.05890741791291</c:v>
                </c:pt>
                <c:pt idx="133">
                  <c:v>911.85467135344368</c:v>
                </c:pt>
                <c:pt idx="134">
                  <c:v>937.6527779559417</c:v>
                </c:pt>
                <c:pt idx="135">
                  <c:v>963.45319388964992</c:v>
                </c:pt>
                <c:pt idx="136">
                  <c:v>989.25588638031809</c:v>
                </c:pt>
                <c:pt idx="137">
                  <c:v>1015.0608232045889</c:v>
                </c:pt>
                <c:pt idx="138">
                  <c:v>1040.8679726795922</c:v>
                </c:pt>
                <c:pt idx="139">
                  <c:v>1066.6773036527427</c:v>
                </c:pt>
                <c:pt idx="140">
                  <c:v>1092.4887854917376</c:v>
                </c:pt>
                <c:pt idx="141">
                  <c:v>1118.3023880747523</c:v>
                </c:pt>
                <c:pt idx="142">
                  <c:v>1144.1180817808304</c:v>
                </c:pt>
                <c:pt idx="143">
                  <c:v>1169.9358374804613</c:v>
                </c:pt>
                <c:pt idx="144">
                  <c:v>1195.7556265263493</c:v>
                </c:pt>
                <c:pt idx="145">
                  <c:v>1221.5774207443617</c:v>
                </c:pt>
                <c:pt idx="146">
                  <c:v>1247.4011924246615</c:v>
                </c:pt>
                <c:pt idx="147">
                  <c:v>1273.226914313014</c:v>
                </c:pt>
                <c:pt idx="148">
                  <c:v>1299.0545596022691</c:v>
                </c:pt>
                <c:pt idx="149">
                  <c:v>1324.8841019240126</c:v>
                </c:pt>
                <c:pt idx="150">
                  <c:v>1350.7155153403862</c:v>
                </c:pt>
                <c:pt idx="151">
                  <c:v>1376.5487743360711</c:v>
                </c:pt>
                <c:pt idx="152">
                  <c:v>1402.3838538104319</c:v>
                </c:pt>
                <c:pt idx="153">
                  <c:v>1428.2207290698188</c:v>
                </c:pt>
                <c:pt idx="154">
                  <c:v>1454.0593758200243</c:v>
                </c:pt>
                <c:pt idx="155">
                  <c:v>1479.8997701588924</c:v>
                </c:pt>
                <c:pt idx="156">
                  <c:v>1505.741888569074</c:v>
                </c:pt>
                <c:pt idx="157">
                  <c:v>1531.5857079109317</c:v>
                </c:pt>
                <c:pt idx="158">
                  <c:v>1557.4312054155835</c:v>
                </c:pt>
                <c:pt idx="159">
                  <c:v>1583.278358678089</c:v>
                </c:pt>
                <c:pt idx="160">
                  <c:v>1609.1271456507718</c:v>
                </c:pt>
                <c:pt idx="161">
                  <c:v>1634.9775446366748</c:v>
                </c:pt>
                <c:pt idx="162">
                  <c:v>1660.8295342831502</c:v>
                </c:pt>
                <c:pt idx="163">
                  <c:v>1686.6830935755743</c:v>
                </c:pt>
                <c:pt idx="164">
                  <c:v>1712.5382018311921</c:v>
                </c:pt>
                <c:pt idx="165">
                  <c:v>1738.3948386930829</c:v>
                </c:pt>
                <c:pt idx="166">
                  <c:v>1764.2529841242481</c:v>
                </c:pt>
                <c:pt idx="167">
                  <c:v>1790.1126184018167</c:v>
                </c:pt>
                <c:pt idx="168">
                  <c:v>1815.9737221113687</c:v>
                </c:pt>
                <c:pt idx="169">
                  <c:v>1841.8362761413684</c:v>
                </c:pt>
                <c:pt idx="170">
                  <c:v>1867.7002616777138</c:v>
                </c:pt>
                <c:pt idx="171">
                  <c:v>1893.5656601983903</c:v>
                </c:pt>
                <c:pt idx="172">
                  <c:v>1919.4324534682339</c:v>
                </c:pt>
                <c:pt idx="173">
                  <c:v>1945.300623533798</c:v>
                </c:pt>
                <c:pt idx="174">
                  <c:v>1971.1701527183218</c:v>
                </c:pt>
                <c:pt idx="175">
                  <c:v>1997.0410236168</c:v>
                </c:pt>
                <c:pt idx="176">
                  <c:v>2022.9132190911489</c:v>
                </c:pt>
                <c:pt idx="177">
                  <c:v>2048.78672226547</c:v>
                </c:pt>
                <c:pt idx="178">
                  <c:v>2074.6615165214052</c:v>
                </c:pt>
                <c:pt idx="179">
                  <c:v>2100.5375854935874</c:v>
                </c:pt>
                <c:pt idx="180">
                  <c:v>2126.4149130651763</c:v>
                </c:pt>
                <c:pt idx="181">
                  <c:v>2152.2934833634877</c:v>
                </c:pt>
                <c:pt idx="182">
                  <c:v>2178.1732807557032</c:v>
                </c:pt>
                <c:pt idx="183">
                  <c:v>2204.0542898446702</c:v>
                </c:pt>
                <c:pt idx="184">
                  <c:v>2229.9364954647785</c:v>
                </c:pt>
                <c:pt idx="185">
                  <c:v>2255.8198826779221</c:v>
                </c:pt>
                <c:pt idx="186">
                  <c:v>2281.7044367695394</c:v>
                </c:pt>
                <c:pt idx="187">
                  <c:v>2307.5901432447281</c:v>
                </c:pt>
                <c:pt idx="188">
                  <c:v>2333.4769878244401</c:v>
                </c:pt>
                <c:pt idx="189">
                  <c:v>2359.3649564417469</c:v>
                </c:pt>
                <c:pt idx="190">
                  <c:v>2385.2540352381798</c:v>
                </c:pt>
                <c:pt idx="191">
                  <c:v>2411.1442105601395</c:v>
                </c:pt>
                <c:pt idx="192">
                  <c:v>2437.0354689553792</c:v>
                </c:pt>
                <c:pt idx="193">
                  <c:v>2462.9277971695501</c:v>
                </c:pt>
                <c:pt idx="194">
                  <c:v>2488.8211821428172</c:v>
                </c:pt>
                <c:pt idx="195">
                  <c:v>2514.7156110065407</c:v>
                </c:pt>
                <c:pt idx="196">
                  <c:v>2540.6110710800203</c:v>
                </c:pt>
                <c:pt idx="197">
                  <c:v>2566.5075498673004</c:v>
                </c:pt>
                <c:pt idx="198">
                  <c:v>2592.4050350540419</c:v>
                </c:pt>
                <c:pt idx="199">
                  <c:v>2618.3035145044455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3-48E3-AC73-4472DE911B46}"/>
            </c:ext>
          </c:extLst>
        </c:ser>
        <c:ser>
          <c:idx val="1"/>
          <c:order val="1"/>
          <c:tx>
            <c:v>Portefeuille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'Profil Action '!$A$4:$A$204</c:f>
              <c:strCache>
                <c:ptCount val="201"/>
                <c:pt idx="0">
                  <c:v>Prix Action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strCache>
            </c:strRef>
          </c:xVal>
          <c:yVal>
            <c:numRef>
              <c:f>'Profil Action '!$H$5:$H$204</c:f>
              <c:numCache>
                <c:formatCode>General</c:formatCode>
                <c:ptCount val="200"/>
                <c:pt idx="0">
                  <c:v>4.6113005133397804</c:v>
                </c:pt>
                <c:pt idx="1">
                  <c:v>7.6822947324681108</c:v>
                </c:pt>
                <c:pt idx="2">
                  <c:v>10.172058252111967</c:v>
                </c:pt>
                <c:pt idx="3">
                  <c:v>12.284755368383296</c:v>
                </c:pt>
                <c:pt idx="4">
                  <c:v>14.117710036343622</c:v>
                </c:pt>
                <c:pt idx="5">
                  <c:v>15.728592048426204</c:v>
                </c:pt>
                <c:pt idx="6">
                  <c:v>17.155809282071552</c:v>
                </c:pt>
                <c:pt idx="7">
                  <c:v>18.426907202762191</c:v>
                </c:pt>
                <c:pt idx="8">
                  <c:v>19.562677393099328</c:v>
                </c:pt>
                <c:pt idx="9">
                  <c:v>20.579409262987131</c:v>
                </c:pt>
                <c:pt idx="10">
                  <c:v>21.490229659873826</c:v>
                </c:pt>
                <c:pt idx="11">
                  <c:v>22.305951300189225</c:v>
                </c:pt>
                <c:pt idx="12">
                  <c:v>23.035637409988748</c:v>
                </c:pt>
                <c:pt idx="13">
                  <c:v>23.686992959131327</c:v>
                </c:pt>
                <c:pt idx="14">
                  <c:v>24.266644971520957</c:v>
                </c:pt>
                <c:pt idx="15">
                  <c:v>24.780349108939536</c:v>
                </c:pt>
                <c:pt idx="16">
                  <c:v>25.233145628885136</c:v>
                </c:pt>
                <c:pt idx="17">
                  <c:v>25.629479588464694</c:v>
                </c:pt>
                <c:pt idx="18">
                  <c:v>25.973295171965269</c:v>
                </c:pt>
                <c:pt idx="19">
                  <c:v>26.268110883860203</c:v>
                </c:pt>
                <c:pt idx="20">
                  <c:v>26.517080320840925</c:v>
                </c:pt>
                <c:pt idx="21">
                  <c:v>26.723041889870142</c:v>
                </c:pt>
                <c:pt idx="22">
                  <c:v>26.888559924021258</c:v>
                </c:pt>
                <c:pt idx="23">
                  <c:v>27.015959012603044</c:v>
                </c:pt>
                <c:pt idx="24">
                  <c:v>27.107352912665455</c:v>
                </c:pt>
                <c:pt idx="25">
                  <c:v>27.164669085520359</c:v>
                </c:pt>
                <c:pt idx="26">
                  <c:v>27.189669665394579</c:v>
                </c:pt>
                <c:pt idx="27">
                  <c:v>27.183969491870513</c:v>
                </c:pt>
                <c:pt idx="28">
                  <c:v>27.149051705859733</c:v>
                </c:pt>
                <c:pt idx="29">
                  <c:v>27.086281308461896</c:v>
                </c:pt>
                <c:pt idx="30">
                  <c:v>26.996917004785203</c:v>
                </c:pt>
                <c:pt idx="31">
                  <c:v>26.882121594692922</c:v>
                </c:pt>
                <c:pt idx="32">
                  <c:v>26.742971125223711</c:v>
                </c:pt>
                <c:pt idx="33">
                  <c:v>26.580462982007496</c:v>
                </c:pt>
                <c:pt idx="34">
                  <c:v>26.395523067081569</c:v>
                </c:pt>
                <c:pt idx="35">
                  <c:v>26.189012186408192</c:v>
                </c:pt>
                <c:pt idx="36">
                  <c:v>25.961731750833096</c:v>
                </c:pt>
                <c:pt idx="37">
                  <c:v>25.714428878236617</c:v>
                </c:pt>
                <c:pt idx="38">
                  <c:v>25.447800971481939</c:v>
                </c:pt>
                <c:pt idx="39">
                  <c:v>25.16249983588424</c:v>
                </c:pt>
                <c:pt idx="40">
                  <c:v>24.859135390871966</c:v>
                </c:pt>
                <c:pt idx="41">
                  <c:v>24.53827902293764</c:v>
                </c:pt>
                <c:pt idx="42">
                  <c:v>24.200466620608569</c:v>
                </c:pt>
                <c:pt idx="43">
                  <c:v>23.846201326789213</c:v>
                </c:pt>
                <c:pt idx="44">
                  <c:v>23.475956039264034</c:v>
                </c:pt>
                <c:pt idx="45">
                  <c:v>23.090175686261858</c:v>
                </c:pt>
                <c:pt idx="46">
                  <c:v>22.689279300657439</c:v>
                </c:pt>
                <c:pt idx="47">
                  <c:v>22.273661913531164</c:v>
                </c:pt>
                <c:pt idx="48">
                  <c:v>21.843696285348269</c:v>
                </c:pt>
                <c:pt idx="49">
                  <c:v>21.399734490892641</c:v>
                </c:pt>
                <c:pt idx="50">
                  <c:v>20.942109372246598</c:v>
                </c:pt>
                <c:pt idx="51">
                  <c:v>20.471135872504469</c:v>
                </c:pt>
                <c:pt idx="52">
                  <c:v>19.987112261508976</c:v>
                </c:pt>
                <c:pt idx="53">
                  <c:v>19.490321263675646</c:v>
                </c:pt>
                <c:pt idx="54">
                  <c:v>18.981031096898292</c:v>
                </c:pt>
                <c:pt idx="55">
                  <c:v>18.459496430584732</c:v>
                </c:pt>
                <c:pt idx="56">
                  <c:v>17.925959270041531</c:v>
                </c:pt>
                <c:pt idx="57">
                  <c:v>17.380649773692401</c:v>
                </c:pt>
                <c:pt idx="58">
                  <c:v>16.823787008965205</c:v>
                </c:pt>
                <c:pt idx="59">
                  <c:v>16.255579652107226</c:v>
                </c:pt>
                <c:pt idx="60">
                  <c:v>15.676226636675505</c:v>
                </c:pt>
                <c:pt idx="61">
                  <c:v>15.085917754994375</c:v>
                </c:pt>
                <c:pt idx="62">
                  <c:v>14.484834216465375</c:v>
                </c:pt>
                <c:pt idx="63">
                  <c:v>13.873149166251745</c:v>
                </c:pt>
                <c:pt idx="64">
                  <c:v>13.251028167534887</c:v>
                </c:pt>
                <c:pt idx="65">
                  <c:v>12.618629650248838</c:v>
                </c:pt>
                <c:pt idx="66">
                  <c:v>11.976105328937281</c:v>
                </c:pt>
                <c:pt idx="67">
                  <c:v>11.323600592142654</c:v>
                </c:pt>
                <c:pt idx="68">
                  <c:v>10.661254865525088</c:v>
                </c:pt>
                <c:pt idx="69">
                  <c:v>9.989201950718142</c:v>
                </c:pt>
                <c:pt idx="70">
                  <c:v>9.3075703417560014</c:v>
                </c:pt>
                <c:pt idx="71">
                  <c:v>8.6164835207508634</c:v>
                </c:pt>
                <c:pt idx="72">
                  <c:v>7.9160602343585325</c:v>
                </c:pt>
                <c:pt idx="73">
                  <c:v>7.2064147524420079</c:v>
                </c:pt>
                <c:pt idx="74">
                  <c:v>6.4876571102274241</c:v>
                </c:pt>
                <c:pt idx="75">
                  <c:v>5.7598933351409887</c:v>
                </c:pt>
                <c:pt idx="76">
                  <c:v>5.023225659419797</c:v>
                </c:pt>
                <c:pt idx="77">
                  <c:v>4.2777527195026792</c:v>
                </c:pt>
                <c:pt idx="78">
                  <c:v>3.523569743127041</c:v>
                </c:pt>
                <c:pt idx="79">
                  <c:v>2.7607687249858657</c:v>
                </c:pt>
                <c:pt idx="80">
                  <c:v>1.9894385917324087</c:v>
                </c:pt>
                <c:pt idx="81">
                  <c:v>1.2096653570599756</c:v>
                </c:pt>
                <c:pt idx="82">
                  <c:v>0.42153226752839146</c:v>
                </c:pt>
                <c:pt idx="83">
                  <c:v>-0.374880060241221</c:v>
                </c:pt>
                <c:pt idx="84">
                  <c:v>-1.1794935104289301</c:v>
                </c:pt>
                <c:pt idx="85">
                  <c:v>-1.992232346403398</c:v>
                </c:pt>
                <c:pt idx="86">
                  <c:v>-2.8130230961409168</c:v>
                </c:pt>
                <c:pt idx="87">
                  <c:v>-3.641794444219375</c:v>
                </c:pt>
                <c:pt idx="88">
                  <c:v>-4.4784771299623287</c:v>
                </c:pt>
                <c:pt idx="89">
                  <c:v>-5.3230038513399123</c:v>
                </c:pt>
                <c:pt idx="90">
                  <c:v>-6.175309174260633</c:v>
                </c:pt>
                <c:pt idx="91">
                  <c:v>-7.035329446913881</c:v>
                </c:pt>
                <c:pt idx="92">
                  <c:v>-7.9030027188472722</c:v>
                </c:pt>
                <c:pt idx="93">
                  <c:v>-8.7782686644841732</c:v>
                </c:pt>
                <c:pt idx="94">
                  <c:v>-9.6610685108076808</c:v>
                </c:pt>
                <c:pt idx="95">
                  <c:v>-10.551344968955547</c:v>
                </c:pt>
                <c:pt idx="96">
                  <c:v>-11.449042169488322</c:v>
                </c:pt>
                <c:pt idx="97">
                  <c:v>-12.354105601108635</c:v>
                </c:pt>
                <c:pt idx="98">
                  <c:v>-13.26648205262439</c:v>
                </c:pt>
                <c:pt idx="99">
                  <c:v>-14.186119557962961</c:v>
                </c:pt>
                <c:pt idx="100">
                  <c:v>-15.112967344055136</c:v>
                </c:pt>
                <c:pt idx="101">
                  <c:v>-16.046975781420691</c:v>
                </c:pt>
                <c:pt idx="102">
                  <c:v>-16.988096337297236</c:v>
                </c:pt>
                <c:pt idx="103">
                  <c:v>-17.936281531164994</c:v>
                </c:pt>
                <c:pt idx="104">
                  <c:v>-18.89148489252927</c:v>
                </c:pt>
                <c:pt idx="105">
                  <c:v>-19.853660920831288</c:v>
                </c:pt>
                <c:pt idx="106">
                  <c:v>-20.822765047366069</c:v>
                </c:pt>
                <c:pt idx="107">
                  <c:v>-21.798753599093892</c:v>
                </c:pt>
                <c:pt idx="108">
                  <c:v>-22.781583764238952</c:v>
                </c:pt>
                <c:pt idx="109">
                  <c:v>-23.771213559575131</c:v>
                </c:pt>
                <c:pt idx="110">
                  <c:v>-24.767601799305275</c:v>
                </c:pt>
                <c:pt idx="111">
                  <c:v>-25.770708065446037</c:v>
                </c:pt>
                <c:pt idx="112">
                  <c:v>-26.780492679635636</c:v>
                </c:pt>
                <c:pt idx="113">
                  <c:v>-27.796916676287047</c:v>
                </c:pt>
                <c:pt idx="114">
                  <c:v>-28.819941777013156</c:v>
                </c:pt>
                <c:pt idx="115">
                  <c:v>-29.849530366256147</c:v>
                </c:pt>
                <c:pt idx="116">
                  <c:v>-30.885645468055849</c:v>
                </c:pt>
                <c:pt idx="117">
                  <c:v>-31.928250723896724</c:v>
                </c:pt>
                <c:pt idx="118">
                  <c:v>-32.97731037157623</c:v>
                </c:pt>
                <c:pt idx="119">
                  <c:v>-34.032789225040936</c:v>
                </c:pt>
                <c:pt idx="120">
                  <c:v>-35.094652655139335</c:v>
                </c:pt>
                <c:pt idx="121">
                  <c:v>-36.162866571244109</c:v>
                </c:pt>
                <c:pt idx="122">
                  <c:v>-37.237397403698466</c:v>
                </c:pt>
                <c:pt idx="123">
                  <c:v>-38.318212087044053</c:v>
                </c:pt>
                <c:pt idx="124">
                  <c:v>-39.405278043990862</c:v>
                </c:pt>
                <c:pt idx="125">
                  <c:v>-40.498563170091025</c:v>
                </c:pt>
                <c:pt idx="126">
                  <c:v>-41.598035819080543</c:v>
                </c:pt>
                <c:pt idx="127">
                  <c:v>-42.70366478885628</c:v>
                </c:pt>
                <c:pt idx="128">
                  <c:v>-43.815419308055127</c:v>
                </c:pt>
                <c:pt idx="129">
                  <c:v>-44.933269023206464</c:v>
                </c:pt>
                <c:pt idx="130">
                  <c:v>-46.057183986428754</c:v>
                </c:pt>
                <c:pt idx="131">
                  <c:v>-47.187134643643937</c:v>
                </c:pt>
                <c:pt idx="132">
                  <c:v>-48.323091823283853</c:v>
                </c:pt>
                <c:pt idx="133">
                  <c:v>-49.465026725465059</c:v>
                </c:pt>
                <c:pt idx="134">
                  <c:v>-50.612910911608999</c:v>
                </c:pt>
                <c:pt idx="135">
                  <c:v>-51.766716294486343</c:v>
                </c:pt>
                <c:pt idx="136">
                  <c:v>-52.926415128664829</c:v>
                </c:pt>
                <c:pt idx="137">
                  <c:v>-54.091980001341796</c:v>
                </c:pt>
                <c:pt idx="138">
                  <c:v>-55.263383823542668</c:v>
                </c:pt>
                <c:pt idx="139">
                  <c:v>-56.440599821668187</c:v>
                </c:pt>
                <c:pt idx="140">
                  <c:v>-57.623601529374469</c:v>
                </c:pt>
                <c:pt idx="141">
                  <c:v>-58.812362779769842</c:v>
                </c:pt>
                <c:pt idx="142">
                  <c:v>-60.006857697913716</c:v>
                </c:pt>
                <c:pt idx="143">
                  <c:v>-61.207060693604134</c:v>
                </c:pt>
                <c:pt idx="144">
                  <c:v>-62.412946454439776</c:v>
                </c:pt>
                <c:pt idx="145">
                  <c:v>-63.624489939144766</c:v>
                </c:pt>
                <c:pt idx="146">
                  <c:v>-64.841666371143845</c:v>
                </c:pt>
                <c:pt idx="147">
                  <c:v>-66.064451232376484</c:v>
                </c:pt>
                <c:pt idx="148">
                  <c:v>-67.292820257339599</c:v>
                </c:pt>
                <c:pt idx="149">
                  <c:v>-68.526749427348236</c:v>
                </c:pt>
                <c:pt idx="150">
                  <c:v>-69.766214965004622</c:v>
                </c:pt>
                <c:pt idx="151">
                  <c:v>-71.011193328866725</c:v>
                </c:pt>
                <c:pt idx="152">
                  <c:v>-72.261661208306506</c:v>
                </c:pt>
                <c:pt idx="153">
                  <c:v>-73.517595518550991</c:v>
                </c:pt>
                <c:pt idx="154">
                  <c:v>-74.77897339589677</c:v>
                </c:pt>
                <c:pt idx="155">
                  <c:v>-76.045772193091651</c:v>
                </c:pt>
                <c:pt idx="156">
                  <c:v>-77.317969474874957</c:v>
                </c:pt>
                <c:pt idx="157">
                  <c:v>-78.595543013670977</c:v>
                </c:pt>
                <c:pt idx="158">
                  <c:v>-79.878470785427993</c:v>
                </c:pt>
                <c:pt idx="159">
                  <c:v>-81.166730965597253</c:v>
                </c:pt>
                <c:pt idx="160">
                  <c:v>-82.460301925245886</c:v>
                </c:pt>
                <c:pt idx="161">
                  <c:v>-83.75916222729785</c:v>
                </c:pt>
                <c:pt idx="162">
                  <c:v>-85.063290622898037</c:v>
                </c:pt>
                <c:pt idx="163">
                  <c:v>-86.372666047894086</c:v>
                </c:pt>
                <c:pt idx="164">
                  <c:v>-87.687267619430884</c:v>
                </c:pt>
                <c:pt idx="165">
                  <c:v>-89.00707463265374</c:v>
                </c:pt>
                <c:pt idx="166">
                  <c:v>-90.332066557515091</c:v>
                </c:pt>
                <c:pt idx="167">
                  <c:v>-91.662223035681109</c:v>
                </c:pt>
                <c:pt idx="168">
                  <c:v>-92.997523877533581</c:v>
                </c:pt>
                <c:pt idx="169">
                  <c:v>-94.33794905926365</c:v>
                </c:pt>
                <c:pt idx="170">
                  <c:v>-95.68347872005414</c:v>
                </c:pt>
                <c:pt idx="171">
                  <c:v>-97.034093159345488</c:v>
                </c:pt>
                <c:pt idx="172">
                  <c:v>-98.389772834183844</c:v>
                </c:pt>
                <c:pt idx="173">
                  <c:v>-99.750498356646688</c:v>
                </c:pt>
                <c:pt idx="174">
                  <c:v>-101.11625049134375</c:v>
                </c:pt>
                <c:pt idx="175">
                  <c:v>-102.48701015298965</c:v>
                </c:pt>
                <c:pt idx="176">
                  <c:v>-103.86275840404609</c:v>
                </c:pt>
                <c:pt idx="177">
                  <c:v>-105.24347645243111</c:v>
                </c:pt>
                <c:pt idx="178">
                  <c:v>-106.62914564929127</c:v>
                </c:pt>
                <c:pt idx="179">
                  <c:v>-108.01974748683668</c:v>
                </c:pt>
                <c:pt idx="180">
                  <c:v>-109.41526359623474</c:v>
                </c:pt>
                <c:pt idx="181">
                  <c:v>-110.81567574556149</c:v>
                </c:pt>
                <c:pt idx="182">
                  <c:v>-112.22096583780692</c:v>
                </c:pt>
                <c:pt idx="183">
                  <c:v>-113.63111590893479</c:v>
                </c:pt>
                <c:pt idx="184">
                  <c:v>-115.04610812599176</c:v>
                </c:pt>
                <c:pt idx="185">
                  <c:v>-116.46592478526718</c:v>
                </c:pt>
                <c:pt idx="186">
                  <c:v>-117.89054831049914</c:v>
                </c:pt>
                <c:pt idx="187">
                  <c:v>-119.31996125112647</c:v>
                </c:pt>
                <c:pt idx="188">
                  <c:v>-120.75414628058547</c:v>
                </c:pt>
                <c:pt idx="189">
                  <c:v>-122.19308619464746</c:v>
                </c:pt>
                <c:pt idx="190">
                  <c:v>-123.6367639097991</c:v>
                </c:pt>
                <c:pt idx="191">
                  <c:v>-125.08516246166094</c:v>
                </c:pt>
                <c:pt idx="192">
                  <c:v>-126.53826500344425</c:v>
                </c:pt>
                <c:pt idx="193">
                  <c:v>-127.99605480444546</c:v>
                </c:pt>
                <c:pt idx="194">
                  <c:v>-129.458515248575</c:v>
                </c:pt>
                <c:pt idx="195">
                  <c:v>-130.92562983292095</c:v>
                </c:pt>
                <c:pt idx="196">
                  <c:v>-132.39738216634623</c:v>
                </c:pt>
                <c:pt idx="197">
                  <c:v>-133.873755968117</c:v>
                </c:pt>
                <c:pt idx="198">
                  <c:v>-135.35473506656245</c:v>
                </c:pt>
                <c:pt idx="199">
                  <c:v>-136.84030339776464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E3-48E3-AC73-4472DE911B46}"/>
            </c:ext>
          </c:extLst>
        </c:ser>
        <c:ser>
          <c:idx val="2"/>
          <c:order val="2"/>
          <c:tx>
            <c:v>Prix Option</c:v>
          </c:tx>
          <c:spPr>
            <a:ln w="0" cap="rnd" cmpd="dbl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'Profil Action '!$A$5:$A$204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'Profil Action '!$F$5:$F$204</c:f>
              <c:numCache>
                <c:formatCode>_("€"* #,##0.00_);_("€"* \(#,##0.00\);_("€"* "-"??_);_(@_)</c:formatCode>
                <c:ptCount val="200"/>
                <c:pt idx="0">
                  <c:v>3.0668634674060133E-7</c:v>
                </c:pt>
                <c:pt idx="1">
                  <c:v>2.1387072231342845E-5</c:v>
                </c:pt>
                <c:pt idx="2">
                  <c:v>1.9859437869561693E-4</c:v>
                </c:pt>
                <c:pt idx="3">
                  <c:v>8.6281341351545585E-4</c:v>
                </c:pt>
                <c:pt idx="4">
                  <c:v>2.5307388214504609E-3</c:v>
                </c:pt>
                <c:pt idx="5">
                  <c:v>5.8539366926316505E-3</c:v>
                </c:pt>
                <c:pt idx="6">
                  <c:v>1.156455037216992E-2</c:v>
                </c:pt>
                <c:pt idx="7">
                  <c:v>2.043036446658901E-2</c:v>
                </c:pt>
                <c:pt idx="8">
                  <c:v>3.3221306580608678E-2</c:v>
                </c:pt>
                <c:pt idx="9">
                  <c:v>5.0686007497739299E-2</c:v>
                </c:pt>
                <c:pt idx="10">
                  <c:v>7.3536276443909754E-2</c:v>
                </c:pt>
                <c:pt idx="11">
                  <c:v>0.1024374841880128</c:v>
                </c:pt>
                <c:pt idx="12">
                  <c:v>0.13800322016073663</c:v>
                </c:pt>
                <c:pt idx="13">
                  <c:v>0.18079297110948778</c:v>
                </c:pt>
                <c:pt idx="14">
                  <c:v>0.23131189008960262</c:v>
                </c:pt>
                <c:pt idx="15">
                  <c:v>0.29001197563624426</c:v>
                </c:pt>
                <c:pt idx="16">
                  <c:v>0.35729417017193854</c:v>
                </c:pt>
                <c:pt idx="17">
                  <c:v>0.43351102662616525</c:v>
                </c:pt>
                <c:pt idx="18">
                  <c:v>0.51896969461930809</c:v>
                </c:pt>
                <c:pt idx="19">
                  <c:v>0.61393505199130893</c:v>
                </c:pt>
                <c:pt idx="20">
                  <c:v>0.718632861331997</c:v>
                </c:pt>
                <c:pt idx="21">
                  <c:v>0.8332528700311892</c:v>
                </c:pt>
                <c:pt idx="22">
                  <c:v>0.9579518002927494</c:v>
                </c:pt>
                <c:pt idx="23">
                  <c:v>1.0928561955324914</c:v>
                </c:pt>
                <c:pt idx="24">
                  <c:v>1.2380651037796047</c:v>
                </c:pt>
                <c:pt idx="25">
                  <c:v>1.3936525887072073</c:v>
                </c:pt>
                <c:pt idx="26">
                  <c:v>1.5596700658817153</c:v>
                </c:pt>
                <c:pt idx="27">
                  <c:v>1.7361484665806914</c:v>
                </c:pt>
                <c:pt idx="28">
                  <c:v>1.9231002346965105</c:v>
                </c:pt>
                <c:pt idx="29">
                  <c:v>2.120521164264026</c:v>
                </c:pt>
                <c:pt idx="30">
                  <c:v>2.3283920863504299</c:v>
                </c:pt>
                <c:pt idx="31">
                  <c:v>2.5466804146621778</c:v>
                </c:pt>
                <c:pt idx="32">
                  <c:v>2.7753415594313067</c:v>
                </c:pt>
                <c:pt idx="33">
                  <c:v>3.0143202190679306</c:v>
                </c:pt>
                <c:pt idx="34">
                  <c:v>3.2635515587996569</c:v>
                </c:pt>
                <c:pt idx="35">
                  <c:v>3.5229622851289424</c:v>
                </c:pt>
                <c:pt idx="36">
                  <c:v>3.792471624474123</c:v>
                </c:pt>
                <c:pt idx="37">
                  <c:v>4.0719922138534912</c:v>
                </c:pt>
                <c:pt idx="38">
                  <c:v>4.3614309109493252</c:v>
                </c:pt>
                <c:pt idx="39">
                  <c:v>4.6606895303662421</c:v>
                </c:pt>
                <c:pt idx="40">
                  <c:v>4.9696655123884916</c:v>
                </c:pt>
                <c:pt idx="41">
                  <c:v>5.2882525300505669</c:v>
                </c:pt>
                <c:pt idx="42">
                  <c:v>5.6163410398699654</c:v>
                </c:pt>
                <c:pt idx="43">
                  <c:v>5.9538187811530694</c:v>
                </c:pt>
                <c:pt idx="44">
                  <c:v>6.3005712283754534</c:v>
                </c:pt>
                <c:pt idx="45">
                  <c:v>6.656482000757606</c:v>
                </c:pt>
                <c:pt idx="46">
                  <c:v>7.0214332328046147</c:v>
                </c:pt>
                <c:pt idx="47">
                  <c:v>7.3953059092538069</c:v>
                </c:pt>
                <c:pt idx="48">
                  <c:v>7.7779801675751887</c:v>
                </c:pt>
                <c:pt idx="49">
                  <c:v>8.1693355708956847</c:v>
                </c:pt>
                <c:pt idx="50">
                  <c:v>8.5692513539665462</c:v>
                </c:pt>
                <c:pt idx="51">
                  <c:v>8.9776066445638847</c:v>
                </c:pt>
                <c:pt idx="52">
                  <c:v>9.3942806625018811</c:v>
                </c:pt>
                <c:pt idx="53">
                  <c:v>9.8191528982466316</c:v>
                </c:pt>
                <c:pt idx="54">
                  <c:v>10.252103272943712</c:v>
                </c:pt>
                <c:pt idx="55">
                  <c:v>10.693012281512784</c:v>
                </c:pt>
                <c:pt idx="56">
                  <c:v>11.14176112031725</c:v>
                </c:pt>
                <c:pt idx="57">
                  <c:v>11.598231800784641</c:v>
                </c:pt>
                <c:pt idx="58">
                  <c:v>12.062307250231932</c:v>
                </c:pt>
                <c:pt idx="59">
                  <c:v>12.533871401041178</c:v>
                </c:pt>
                <c:pt idx="60">
                  <c:v>13.012809269229297</c:v>
                </c:pt>
                <c:pt idx="61">
                  <c:v>13.4990070233655</c:v>
                </c:pt>
                <c:pt idx="62">
                  <c:v>13.992352044706269</c:v>
                </c:pt>
                <c:pt idx="63">
                  <c:v>14.492732979341916</c:v>
                </c:pt>
                <c:pt idx="64">
                  <c:v>15.00003978307986</c:v>
                </c:pt>
                <c:pt idx="65">
                  <c:v>15.514163759726681</c:v>
                </c:pt>
                <c:pt idx="66">
                  <c:v>16.034997593373514</c:v>
                </c:pt>
                <c:pt idx="67">
                  <c:v>16.56243537523715</c:v>
                </c:pt>
                <c:pt idx="68">
                  <c:v>17.096372625561298</c:v>
                </c:pt>
                <c:pt idx="69">
                  <c:v>17.636706311038953</c:v>
                </c:pt>
                <c:pt idx="70">
                  <c:v>18.183334858177005</c:v>
                </c:pt>
                <c:pt idx="71">
                  <c:v>18.736158162987977</c:v>
                </c:pt>
                <c:pt idx="72">
                  <c:v>19.295077597360624</c:v>
                </c:pt>
                <c:pt idx="73">
                  <c:v>19.859996012430678</c:v>
                </c:pt>
                <c:pt idx="74">
                  <c:v>20.430817739245683</c:v>
                </c:pt>
                <c:pt idx="75">
                  <c:v>21.007448586992343</c:v>
                </c:pt>
                <c:pt idx="76">
                  <c:v>21.589795839031598</c:v>
                </c:pt>
                <c:pt idx="77">
                  <c:v>22.177768246966046</c:v>
                </c:pt>
                <c:pt idx="78">
                  <c:v>22.771276022944246</c:v>
                </c:pt>
                <c:pt idx="79">
                  <c:v>23.370230830389449</c:v>
                </c:pt>
                <c:pt idx="80">
                  <c:v>23.974545773323683</c:v>
                </c:pt>
                <c:pt idx="81">
                  <c:v>24.584135384443602</c:v>
                </c:pt>
                <c:pt idx="82">
                  <c:v>25.198915612090662</c:v>
                </c:pt>
                <c:pt idx="83">
                  <c:v>25.81880380624618</c:v>
                </c:pt>
                <c:pt idx="84">
                  <c:v>26.4437187036701</c:v>
                </c:pt>
                <c:pt idx="85">
                  <c:v>27.073580412291943</c:v>
                </c:pt>
                <c:pt idx="86">
                  <c:v>27.708310394953344</c:v>
                </c:pt>
                <c:pt idx="87">
                  <c:v>28.347831452591883</c:v>
                </c:pt>
                <c:pt idx="88">
                  <c:v>28.992067706949136</c:v>
                </c:pt>
                <c:pt idx="89">
                  <c:v>29.640944582877459</c:v>
                </c:pt>
                <c:pt idx="90">
                  <c:v>30.29438879031386</c:v>
                </c:pt>
                <c:pt idx="91">
                  <c:v>30.952328305983126</c:v>
                </c:pt>
                <c:pt idx="92">
                  <c:v>31.614692354886405</c:v>
                </c:pt>
                <c:pt idx="93">
                  <c:v>32.28141139162669</c:v>
                </c:pt>
                <c:pt idx="94">
                  <c:v>32.952417081617533</c:v>
                </c:pt>
                <c:pt idx="95">
                  <c:v>33.627642282217238</c:v>
                </c:pt>
                <c:pt idx="96">
                  <c:v>34.307021023826422</c:v>
                </c:pt>
                <c:pt idx="97">
                  <c:v>34.990488490983694</c:v>
                </c:pt>
                <c:pt idx="98">
                  <c:v>35.677981003490451</c:v>
                </c:pt>
                <c:pt idx="99">
                  <c:v>36.369435997592596</c:v>
                </c:pt>
                <c:pt idx="100">
                  <c:v>37.06479200724484</c:v>
                </c:pt>
                <c:pt idx="101">
                  <c:v>37.763988645479678</c:v>
                </c:pt>
                <c:pt idx="102">
                  <c:v>38.466966585901744</c:v>
                </c:pt>
                <c:pt idx="103">
                  <c:v>39.173667544325298</c:v>
                </c:pt>
                <c:pt idx="104">
                  <c:v>39.884034260571134</c:v>
                </c:pt>
                <c:pt idx="105">
                  <c:v>40.598010480436976</c:v>
                </c:pt>
                <c:pt idx="106">
                  <c:v>41.315540937854152</c:v>
                </c:pt>
                <c:pt idx="107">
                  <c:v>42.036571337241512</c:v>
                </c:pt>
                <c:pt idx="108">
                  <c:v>42.761048336066288</c:v>
                </c:pt>
                <c:pt idx="109">
                  <c:v>43.488919527620141</c:v>
                </c:pt>
                <c:pt idx="110">
                  <c:v>44.220133424018009</c:v>
                </c:pt>
                <c:pt idx="111">
                  <c:v>44.954639439425485</c:v>
                </c:pt>
                <c:pt idx="112">
                  <c:v>45.692387873520083</c:v>
                </c:pt>
                <c:pt idx="113">
                  <c:v>46.433329895190802</c:v>
                </c:pt>
                <c:pt idx="114">
                  <c:v>47.177417526479331</c:v>
                </c:pt>
                <c:pt idx="115">
                  <c:v>47.92460362676573</c:v>
                </c:pt>
                <c:pt idx="116">
                  <c:v>48.674841877200556</c:v>
                </c:pt>
                <c:pt idx="117">
                  <c:v>49.428086765385117</c:v>
                </c:pt>
                <c:pt idx="118">
                  <c:v>50.184293570300575</c:v>
                </c:pt>
                <c:pt idx="119">
                  <c:v>50.94341834748635</c:v>
                </c:pt>
                <c:pt idx="120">
                  <c:v>51.705417914468022</c:v>
                </c:pt>
                <c:pt idx="121">
                  <c:v>52.470249836433837</c:v>
                </c:pt>
                <c:pt idx="122">
                  <c:v>53.237872412159433</c:v>
                </c:pt>
                <c:pt idx="123">
                  <c:v>54.00824466017955</c:v>
                </c:pt>
                <c:pt idx="124">
                  <c:v>54.781326305204942</c:v>
                </c:pt>
                <c:pt idx="125">
                  <c:v>55.557077764783109</c:v>
                </c:pt>
                <c:pt idx="126">
                  <c:v>56.3354601362011</c:v>
                </c:pt>
                <c:pt idx="127">
                  <c:v>57.116435183627395</c:v>
                </c:pt>
                <c:pt idx="128">
                  <c:v>57.899965325491451</c:v>
                </c:pt>
                <c:pt idx="129">
                  <c:v>58.686013622097803</c:v>
                </c:pt>
                <c:pt idx="130">
                  <c:v>59.474543763472226</c:v>
                </c:pt>
                <c:pt idx="131">
                  <c:v>60.265520057437065</c:v>
                </c:pt>
                <c:pt idx="132">
                  <c:v>61.058907417912927</c:v>
                </c:pt>
                <c:pt idx="133">
                  <c:v>61.854671353443699</c:v>
                </c:pt>
                <c:pt idx="134">
                  <c:v>62.652777955941708</c:v>
                </c:pt>
                <c:pt idx="135">
                  <c:v>63.453193889649953</c:v>
                </c:pt>
                <c:pt idx="136">
                  <c:v>64.25588638031806</c:v>
                </c:pt>
                <c:pt idx="137">
                  <c:v>65.0608232045889</c:v>
                </c:pt>
                <c:pt idx="138">
                  <c:v>65.86797267959227</c:v>
                </c:pt>
                <c:pt idx="139">
                  <c:v>66.677303652742708</c:v>
                </c:pt>
                <c:pt idx="140">
                  <c:v>67.488785491737573</c:v>
                </c:pt>
                <c:pt idx="141">
                  <c:v>68.302388074752429</c:v>
                </c:pt>
                <c:pt idx="142">
                  <c:v>69.118081780830352</c:v>
                </c:pt>
                <c:pt idx="143">
                  <c:v>69.935837480461331</c:v>
                </c:pt>
                <c:pt idx="144">
                  <c:v>70.755626526349147</c:v>
                </c:pt>
                <c:pt idx="145">
                  <c:v>71.577420744361646</c:v>
                </c:pt>
                <c:pt idx="146">
                  <c:v>72.401192424661502</c:v>
                </c:pt>
                <c:pt idx="147">
                  <c:v>73.226914313014078</c:v>
                </c:pt>
                <c:pt idx="148">
                  <c:v>74.054559602269052</c:v>
                </c:pt>
                <c:pt idx="149">
                  <c:v>74.884101924012512</c:v>
                </c:pt>
                <c:pt idx="150">
                  <c:v>75.715515340386247</c:v>
                </c:pt>
                <c:pt idx="151">
                  <c:v>76.54877433607119</c:v>
                </c:pt>
                <c:pt idx="152">
                  <c:v>77.383853810431972</c:v>
                </c:pt>
                <c:pt idx="153">
                  <c:v>78.220729069818816</c:v>
                </c:pt>
                <c:pt idx="154">
                  <c:v>79.0593758200244</c:v>
                </c:pt>
                <c:pt idx="155">
                  <c:v>79.899770158892281</c:v>
                </c:pt>
                <c:pt idx="156">
                  <c:v>80.74188856907395</c:v>
                </c:pt>
                <c:pt idx="157">
                  <c:v>81.585707910931603</c:v>
                </c:pt>
                <c:pt idx="158">
                  <c:v>82.431205415583463</c:v>
                </c:pt>
                <c:pt idx="159">
                  <c:v>83.278358678089091</c:v>
                </c:pt>
                <c:pt idx="160">
                  <c:v>84.127145650771723</c:v>
                </c:pt>
                <c:pt idx="161">
                  <c:v>84.97754463667485</c:v>
                </c:pt>
                <c:pt idx="162">
                  <c:v>85.829534283150124</c:v>
                </c:pt>
                <c:pt idx="163">
                  <c:v>86.683093575574304</c:v>
                </c:pt>
                <c:pt idx="164">
                  <c:v>87.538201831192112</c:v>
                </c:pt>
                <c:pt idx="165">
                  <c:v>88.394838693082932</c:v>
                </c:pt>
                <c:pt idx="166">
                  <c:v>89.252984124248044</c:v>
                </c:pt>
                <c:pt idx="167">
                  <c:v>90.112618401816803</c:v>
                </c:pt>
                <c:pt idx="168">
                  <c:v>90.97372211136863</c:v>
                </c:pt>
                <c:pt idx="169">
                  <c:v>91.836276141368501</c:v>
                </c:pt>
                <c:pt idx="170">
                  <c:v>92.700261677713868</c:v>
                </c:pt>
                <c:pt idx="171">
                  <c:v>93.56566019839029</c:v>
                </c:pt>
                <c:pt idx="172">
                  <c:v>94.432453468233888</c:v>
                </c:pt>
                <c:pt idx="173">
                  <c:v>95.300623533797904</c:v>
                </c:pt>
                <c:pt idx="174">
                  <c:v>96.170152718321788</c:v>
                </c:pt>
                <c:pt idx="175">
                  <c:v>97.041023616799976</c:v>
                </c:pt>
                <c:pt idx="176">
                  <c:v>97.913219091148974</c:v>
                </c:pt>
                <c:pt idx="177">
                  <c:v>98.786722265469876</c:v>
                </c:pt>
                <c:pt idx="178">
                  <c:v>99.661516521405161</c:v>
                </c:pt>
                <c:pt idx="179">
                  <c:v>100.53758549358716</c:v>
                </c:pt>
                <c:pt idx="180">
                  <c:v>101.41491306517626</c:v>
                </c:pt>
                <c:pt idx="181">
                  <c:v>102.29348336348758</c:v>
                </c:pt>
                <c:pt idx="182">
                  <c:v>103.17328075570342</c:v>
                </c:pt>
                <c:pt idx="183">
                  <c:v>104.05428984467028</c:v>
                </c:pt>
                <c:pt idx="184">
                  <c:v>104.93649546477846</c:v>
                </c:pt>
                <c:pt idx="185">
                  <c:v>105.81988267792219</c:v>
                </c:pt>
                <c:pt idx="186">
                  <c:v>106.70443676953936</c:v>
                </c:pt>
                <c:pt idx="187">
                  <c:v>107.59014324472824</c:v>
                </c:pt>
                <c:pt idx="188">
                  <c:v>108.47698782444024</c:v>
                </c:pt>
                <c:pt idx="189">
                  <c:v>109.36495644174698</c:v>
                </c:pt>
                <c:pt idx="190">
                  <c:v>110.25403523817957</c:v>
                </c:pt>
                <c:pt idx="191">
                  <c:v>111.14421056013963</c:v>
                </c:pt>
                <c:pt idx="192">
                  <c:v>112.03546895537934</c:v>
                </c:pt>
                <c:pt idx="193">
                  <c:v>112.92779716954999</c:v>
                </c:pt>
                <c:pt idx="194">
                  <c:v>113.82118214281704</c:v>
                </c:pt>
                <c:pt idx="195">
                  <c:v>114.71561100654064</c:v>
                </c:pt>
                <c:pt idx="196">
                  <c:v>115.61107108002014</c:v>
                </c:pt>
                <c:pt idx="197">
                  <c:v>116.50754986730065</c:v>
                </c:pt>
                <c:pt idx="198">
                  <c:v>117.40503505404175</c:v>
                </c:pt>
                <c:pt idx="199">
                  <c:v>118.30351450444539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E3-48E3-AC73-4472DE91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097136"/>
        <c:axId val="1965190816"/>
      </c:scatterChart>
      <c:valAx>
        <c:axId val="170709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5190816"/>
        <c:crosses val="autoZero"/>
        <c:crossBetween val="midCat"/>
      </c:valAx>
      <c:valAx>
        <c:axId val="19651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v>Delta_Portefeuille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'Profil Action '!$I$5:$I$204</c:f>
              <c:numCache>
                <c:formatCode>General</c:formatCode>
                <c:ptCount val="200"/>
                <c:pt idx="0">
                  <c:v>-10.753267871210557</c:v>
                </c:pt>
                <c:pt idx="1">
                  <c:v>-15.151408084093214</c:v>
                </c:pt>
                <c:pt idx="2">
                  <c:v>-18.622182498162463</c:v>
                </c:pt>
                <c:pt idx="3">
                  <c:v>-21.447860782776985</c:v>
                </c:pt>
                <c:pt idx="4">
                  <c:v>-23.779678910967931</c:v>
                </c:pt>
                <c:pt idx="5">
                  <c:v>-25.71340207026411</c:v>
                </c:pt>
                <c:pt idx="6">
                  <c:v>-27.315726833502239</c:v>
                </c:pt>
                <c:pt idx="7">
                  <c:v>-28.636047973682413</c:v>
                </c:pt>
                <c:pt idx="8">
                  <c:v>-29.71253139106021</c:v>
                </c:pt>
                <c:pt idx="9">
                  <c:v>-30.575583359794621</c:v>
                </c:pt>
                <c:pt idx="10">
                  <c:v>-31.249988135914517</c:v>
                </c:pt>
                <c:pt idx="11">
                  <c:v>-31.756304991610264</c:v>
                </c:pt>
                <c:pt idx="12">
                  <c:v>-32.111825347036152</c:v>
                </c:pt>
                <c:pt idx="13">
                  <c:v>-32.331254225995622</c:v>
                </c:pt>
                <c:pt idx="14">
                  <c:v>-32.42721108467159</c:v>
                </c:pt>
                <c:pt idx="15">
                  <c:v>-32.41060775347907</c:v>
                </c:pt>
                <c:pt idx="16">
                  <c:v>-32.29094004486295</c:v>
                </c:pt>
                <c:pt idx="17">
                  <c:v>-32.076517006982478</c:v>
                </c:pt>
                <c:pt idx="18">
                  <c:v>-31.774644052491926</c:v>
                </c:pt>
                <c:pt idx="19">
                  <c:v>-31.391771251114722</c:v>
                </c:pt>
                <c:pt idx="20">
                  <c:v>-30.933614830784521</c:v>
                </c:pt>
                <c:pt idx="21">
                  <c:v>-30.405257745084157</c:v>
                </c:pt>
                <c:pt idx="22">
                  <c:v>-29.811233654744399</c:v>
                </c:pt>
                <c:pt idx="23">
                  <c:v>-29.155597605916242</c:v>
                </c:pt>
                <c:pt idx="24">
                  <c:v>-28.441985921965333</c:v>
                </c:pt>
                <c:pt idx="25">
                  <c:v>-27.673667264949785</c:v>
                </c:pt>
                <c:pt idx="26">
                  <c:v>-26.853586406021726</c:v>
                </c:pt>
                <c:pt idx="27">
                  <c:v>-25.984401929442129</c:v>
                </c:pt>
                <c:pt idx="28">
                  <c:v>-25.068518854357123</c:v>
                </c:pt>
                <c:pt idx="29">
                  <c:v>-24.108116972397948</c:v>
                </c:pt>
                <c:pt idx="30">
                  <c:v>-23.105175553520507</c:v>
                </c:pt>
                <c:pt idx="31">
                  <c:v>-22.061494957439798</c:v>
                </c:pt>
                <c:pt idx="32">
                  <c:v>-20.97871559623578</c:v>
                </c:pt>
                <c:pt idx="33">
                  <c:v>-19.858334619868426</c:v>
                </c:pt>
                <c:pt idx="34">
                  <c:v>-18.701720636510693</c:v>
                </c:pt>
                <c:pt idx="35">
                  <c:v>-17.510126730784346</c:v>
                </c:pt>
                <c:pt idx="36">
                  <c:v>-16.284702002787604</c:v>
                </c:pt>
                <c:pt idx="37">
                  <c:v>-15.026501817708363</c:v>
                </c:pt>
                <c:pt idx="38">
                  <c:v>-13.736496928156981</c:v>
                </c:pt>
                <c:pt idx="39">
                  <c:v>-12.415581608358846</c:v>
                </c:pt>
                <c:pt idx="40">
                  <c:v>-11.064580919968144</c:v>
                </c:pt>
                <c:pt idx="41">
                  <c:v>-9.6842572129681876</c:v>
                </c:pt>
                <c:pt idx="42">
                  <c:v>-8.2753159512737025</c:v>
                </c:pt>
                <c:pt idx="43">
                  <c:v>-6.8384109409339136</c:v>
                </c:pt>
                <c:pt idx="44">
                  <c:v>-5.3741490287817086</c:v>
                </c:pt>
                <c:pt idx="45">
                  <c:v>-3.8830943308072499</c:v>
                </c:pt>
                <c:pt idx="46">
                  <c:v>-2.3657720421471176</c:v>
                </c:pt>
                <c:pt idx="47">
                  <c:v>-0.82267187424789334</c:v>
                </c:pt>
                <c:pt idx="48">
                  <c:v>0.74574884075364167</c:v>
                </c:pt>
                <c:pt idx="49">
                  <c:v>2.3390623431264945</c:v>
                </c:pt>
                <c:pt idx="50">
                  <c:v>3.9568679049415287</c:v>
                </c:pt>
                <c:pt idx="51">
                  <c:v>5.5987895281946045</c:v>
                </c:pt>
                <c:pt idx="52">
                  <c:v>7.2644738572355791</c:v>
                </c:pt>
                <c:pt idx="53">
                  <c:v>8.9535882837759946</c:v>
                </c:pt>
                <c:pt idx="54">
                  <c:v>10.665819225229946</c:v>
                </c:pt>
                <c:pt idx="55">
                  <c:v>12.400870559182284</c:v>
                </c:pt>
                <c:pt idx="56">
                  <c:v>14.158462198675437</c:v>
                </c:pt>
                <c:pt idx="57">
                  <c:v>15.938328794659396</c:v>
                </c:pt>
                <c:pt idx="58">
                  <c:v>17.740218553322809</c:v>
                </c:pt>
                <c:pt idx="59">
                  <c:v>19.563892157415886</c:v>
                </c:pt>
                <c:pt idx="60">
                  <c:v>21.409121781690789</c:v>
                </c:pt>
                <c:pt idx="61">
                  <c:v>23.27569019367338</c:v>
                </c:pt>
                <c:pt idx="62">
                  <c:v>25.163389931842577</c:v>
                </c:pt>
                <c:pt idx="63">
                  <c:v>27.072022554081965</c:v>
                </c:pt>
                <c:pt idx="64">
                  <c:v>29.00139794999108</c:v>
                </c:pt>
                <c:pt idx="65">
                  <c:v>30.951333711272326</c:v>
                </c:pt>
                <c:pt idx="66">
                  <c:v>32.921654554960995</c:v>
                </c:pt>
                <c:pt idx="67">
                  <c:v>34.912191794793571</c:v>
                </c:pt>
                <c:pt idx="68">
                  <c:v>36.92278285643885</c:v>
                </c:pt>
                <c:pt idx="69">
                  <c:v>38.953270832731818</c:v>
                </c:pt>
                <c:pt idx="70">
                  <c:v>41.003504075424956</c:v>
                </c:pt>
                <c:pt idx="71">
                  <c:v>43.07333582026191</c:v>
                </c:pt>
                <c:pt idx="72">
                  <c:v>45.162623842534401</c:v>
                </c:pt>
                <c:pt idx="73">
                  <c:v>47.271230140466763</c:v>
                </c:pt>
                <c:pt idx="74">
                  <c:v>49.399020644088324</c:v>
                </c:pt>
                <c:pt idx="75">
                  <c:v>51.545864947430005</c:v>
                </c:pt>
                <c:pt idx="76">
                  <c:v>53.71163606204982</c:v>
                </c:pt>
                <c:pt idx="77">
                  <c:v>55.896210190150953</c:v>
                </c:pt>
                <c:pt idx="78">
                  <c:v>58.099466515612185</c:v>
                </c:pt>
                <c:pt idx="79">
                  <c:v>60.32128701147839</c:v>
                </c:pt>
                <c:pt idx="80">
                  <c:v>62.56155626252702</c:v>
                </c:pt>
                <c:pt idx="81">
                  <c:v>64.820161301708566</c:v>
                </c:pt>
                <c:pt idx="82">
                  <c:v>67.096991459274577</c:v>
                </c:pt>
                <c:pt idx="83">
                  <c:v>69.391938223620414</c:v>
                </c:pt>
                <c:pt idx="84">
                  <c:v>71.704895112855013</c:v>
                </c:pt>
                <c:pt idx="85">
                  <c:v>74.035757556228944</c:v>
                </c:pt>
                <c:pt idx="86">
                  <c:v>76.384422784683807</c:v>
                </c:pt>
                <c:pt idx="87">
                  <c:v>78.750789729699505</c:v>
                </c:pt>
                <c:pt idx="88">
                  <c:v>81.134758929873129</c:v>
                </c:pt>
                <c:pt idx="89">
                  <c:v>83.536232444561904</c:v>
                </c:pt>
                <c:pt idx="90">
                  <c:v>85.955113774028675</c:v>
                </c:pt>
                <c:pt idx="91">
                  <c:v>88.391307785622587</c:v>
                </c:pt>
                <c:pt idx="92">
                  <c:v>90.844720645456221</c:v>
                </c:pt>
                <c:pt idx="93">
                  <c:v>93.315259755208245</c:v>
                </c:pt>
                <c:pt idx="94">
                  <c:v>95.802833693602565</c:v>
                </c:pt>
                <c:pt idx="95">
                  <c:v>98.307352162244001</c:v>
                </c:pt>
                <c:pt idx="96">
                  <c:v>100.8287259354361</c:v>
                </c:pt>
                <c:pt idx="97">
                  <c:v>103.3668668136753</c:v>
                </c:pt>
                <c:pt idx="98">
                  <c:v>105.92168758058355</c:v>
                </c:pt>
                <c:pt idx="99">
                  <c:v>108.49310196292487</c:v>
                </c:pt>
                <c:pt idx="100">
                  <c:v>111.08102459357664</c:v>
                </c:pt>
                <c:pt idx="101">
                  <c:v>113.68537097712678</c:v>
                </c:pt>
                <c:pt idx="102">
                  <c:v>116.30605745796755</c:v>
                </c:pt>
                <c:pt idx="103">
                  <c:v>118.94300119066006</c:v>
                </c:pt>
                <c:pt idx="104">
                  <c:v>121.59612011240874</c:v>
                </c:pt>
                <c:pt idx="105">
                  <c:v>124.26533291747012</c:v>
                </c:pt>
                <c:pt idx="106">
                  <c:v>126.95055903335822</c:v>
                </c:pt>
                <c:pt idx="107">
                  <c:v>129.65171859873053</c:v>
                </c:pt>
                <c:pt idx="108">
                  <c:v>132.36873244277206</c:v>
                </c:pt>
                <c:pt idx="109">
                  <c:v>135.1015220660191</c:v>
                </c:pt>
                <c:pt idx="110">
                  <c:v>137.85000962247835</c:v>
                </c:pt>
                <c:pt idx="111">
                  <c:v>140.61411790296512</c:v>
                </c:pt>
                <c:pt idx="112">
                  <c:v>143.3937703195673</c:v>
                </c:pt>
                <c:pt idx="113">
                  <c:v>146.18889089107827</c:v>
                </c:pt>
                <c:pt idx="114">
                  <c:v>148.99940422948657</c:v>
                </c:pt>
                <c:pt idx="115">
                  <c:v>151.82523552725561</c:v>
                </c:pt>
                <c:pt idx="116">
                  <c:v>154.66631054546383</c:v>
                </c:pt>
                <c:pt idx="117">
                  <c:v>157.52255560267338</c:v>
                </c:pt>
                <c:pt idx="118">
                  <c:v>160.39389756452704</c:v>
                </c:pt>
                <c:pt idx="119">
                  <c:v>163.28026383392864</c:v>
                </c:pt>
                <c:pt idx="120">
                  <c:v>166.18158234188803</c:v>
                </c:pt>
                <c:pt idx="121">
                  <c:v>169.09778153885568</c:v>
                </c:pt>
                <c:pt idx="122">
                  <c:v>172.02879038657107</c:v>
                </c:pt>
                <c:pt idx="123">
                  <c:v>174.97453835042018</c:v>
                </c:pt>
                <c:pt idx="124">
                  <c:v>177.93495539218966</c:v>
                </c:pt>
                <c:pt idx="125">
                  <c:v>180.90997196317761</c:v>
                </c:pt>
                <c:pt idx="126">
                  <c:v>183.89951899780147</c:v>
                </c:pt>
                <c:pt idx="127">
                  <c:v>186.90352790737188</c:v>
                </c:pt>
                <c:pt idx="128">
                  <c:v>189.92193057433468</c:v>
                </c:pt>
                <c:pt idx="129">
                  <c:v>192.95465934670122</c:v>
                </c:pt>
                <c:pt idx="130">
                  <c:v>196.00164703279779</c:v>
                </c:pt>
                <c:pt idx="131">
                  <c:v>199.06282689622887</c:v>
                </c:pt>
                <c:pt idx="132">
                  <c:v>202.13813265109627</c:v>
                </c:pt>
                <c:pt idx="133">
                  <c:v>205.22749845739452</c:v>
                </c:pt>
                <c:pt idx="134">
                  <c:v>208.33085891663578</c:v>
                </c:pt>
                <c:pt idx="135">
                  <c:v>211.44814906760718</c:v>
                </c:pt>
                <c:pt idx="136">
                  <c:v>214.57930438235769</c:v>
                </c:pt>
                <c:pt idx="137">
                  <c:v>217.72426076226611</c:v>
                </c:pt>
                <c:pt idx="138">
                  <c:v>220.88295453426525</c:v>
                </c:pt>
                <c:pt idx="139">
                  <c:v>224.05532244724955</c:v>
                </c:pt>
                <c:pt idx="140">
                  <c:v>227.24130166853269</c:v>
                </c:pt>
                <c:pt idx="141">
                  <c:v>230.44082978042059</c:v>
                </c:pt>
                <c:pt idx="142">
                  <c:v>233.65384477696568</c:v>
                </c:pt>
                <c:pt idx="143">
                  <c:v>236.8802850606599</c:v>
                </c:pt>
                <c:pt idx="144">
                  <c:v>240.12008943938037</c:v>
                </c:pt>
                <c:pt idx="145">
                  <c:v>243.37319712331032</c:v>
                </c:pt>
                <c:pt idx="146">
                  <c:v>246.63954772192557</c:v>
                </c:pt>
                <c:pt idx="147">
                  <c:v>249.91908124113604</c:v>
                </c:pt>
                <c:pt idx="148">
                  <c:v>253.21173808037861</c:v>
                </c:pt>
                <c:pt idx="149">
                  <c:v>256.51745902983555</c:v>
                </c:pt>
                <c:pt idx="150">
                  <c:v>259.8361852677304</c:v>
                </c:pt>
                <c:pt idx="151">
                  <c:v>263.16785835751466</c:v>
                </c:pt>
                <c:pt idx="152">
                  <c:v>266.51242024534247</c:v>
                </c:pt>
                <c:pt idx="153">
                  <c:v>269.86981325735326</c:v>
                </c:pt>
                <c:pt idx="154">
                  <c:v>273.23998009716558</c:v>
                </c:pt>
                <c:pt idx="155">
                  <c:v>276.62286384325216</c:v>
                </c:pt>
                <c:pt idx="156">
                  <c:v>280.01840794650411</c:v>
                </c:pt>
                <c:pt idx="157">
                  <c:v>283.42655622768899</c:v>
                </c:pt>
                <c:pt idx="158">
                  <c:v>286.8472528750147</c:v>
                </c:pt>
                <c:pt idx="159">
                  <c:v>290.2804424417094</c:v>
                </c:pt>
                <c:pt idx="160">
                  <c:v>293.72606984356696</c:v>
                </c:pt>
                <c:pt idx="161">
                  <c:v>297.18408035660497</c:v>
                </c:pt>
                <c:pt idx="162">
                  <c:v>300.65441961467388</c:v>
                </c:pt>
                <c:pt idx="163">
                  <c:v>304.13703360708223</c:v>
                </c:pt>
                <c:pt idx="164">
                  <c:v>307.63186867631748</c:v>
                </c:pt>
                <c:pt idx="165">
                  <c:v>311.13887151566348</c:v>
                </c:pt>
                <c:pt idx="166">
                  <c:v>314.65798916697503</c:v>
                </c:pt>
                <c:pt idx="167">
                  <c:v>318.1891690183013</c:v>
                </c:pt>
                <c:pt idx="168">
                  <c:v>321.73235880164418</c:v>
                </c:pt>
                <c:pt idx="169">
                  <c:v>325.28750659078287</c:v>
                </c:pt>
                <c:pt idx="170">
                  <c:v>328.85456079884159</c:v>
                </c:pt>
                <c:pt idx="171">
                  <c:v>332.43347017622636</c:v>
                </c:pt>
                <c:pt idx="172">
                  <c:v>336.02418380828266</c:v>
                </c:pt>
                <c:pt idx="173">
                  <c:v>339.62665111315675</c:v>
                </c:pt>
                <c:pt idx="174">
                  <c:v>343.24082183949986</c:v>
                </c:pt>
                <c:pt idx="175">
                  <c:v>346.86664606432925</c:v>
                </c:pt>
                <c:pt idx="176">
                  <c:v>350.50407419090067</c:v>
                </c:pt>
                <c:pt idx="177">
                  <c:v>354.15305694633616</c:v>
                </c:pt>
                <c:pt idx="178">
                  <c:v>357.81354537964569</c:v>
                </c:pt>
                <c:pt idx="179">
                  <c:v>361.48549085947406</c:v>
                </c:pt>
                <c:pt idx="180">
                  <c:v>365.16884507201388</c:v>
                </c:pt>
                <c:pt idx="181">
                  <c:v>368.86356001869018</c:v>
                </c:pt>
                <c:pt idx="182">
                  <c:v>372.56958801430244</c:v>
                </c:pt>
                <c:pt idx="183">
                  <c:v>376.28688168458234</c:v>
                </c:pt>
                <c:pt idx="184">
                  <c:v>380.01539396436436</c:v>
                </c:pt>
                <c:pt idx="185">
                  <c:v>383.7550780952605</c:v>
                </c:pt>
                <c:pt idx="186">
                  <c:v>387.50588762362776</c:v>
                </c:pt>
                <c:pt idx="187">
                  <c:v>391.26777639858801</c:v>
                </c:pt>
                <c:pt idx="188">
                  <c:v>395.04069856967266</c:v>
                </c:pt>
                <c:pt idx="189">
                  <c:v>398.82460858503941</c:v>
                </c:pt>
                <c:pt idx="190">
                  <c:v>402.61946118923362</c:v>
                </c:pt>
                <c:pt idx="191">
                  <c:v>406.42521142107859</c:v>
                </c:pt>
                <c:pt idx="192">
                  <c:v>410.24181461185185</c:v>
                </c:pt>
                <c:pt idx="193">
                  <c:v>414.06922638297283</c:v>
                </c:pt>
                <c:pt idx="194">
                  <c:v>417.90740264410357</c:v>
                </c:pt>
                <c:pt idx="195">
                  <c:v>421.75629959118294</c:v>
                </c:pt>
                <c:pt idx="196">
                  <c:v>425.61587370423644</c:v>
                </c:pt>
                <c:pt idx="197">
                  <c:v>429.48608174550333</c:v>
                </c:pt>
                <c:pt idx="198">
                  <c:v>433.36688075740369</c:v>
                </c:pt>
                <c:pt idx="199">
                  <c:v>-27486.364194057373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58-4C83-AEE4-DA1BF9520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097136"/>
        <c:axId val="19651908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'Profil Action '!$G$4</c15:sqref>
                        </c15:formulaRef>
                      </c:ext>
                    </c:extLst>
                    <c:strCache>
                      <c:ptCount val="1"/>
                      <c:pt idx="0">
                        <c:v>PNL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triangle"/>
                  <c:size val="2"/>
                  <c:spPr>
                    <a:solidFill>
                      <a:schemeClr val="accent1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'Profil Action '!$G$5:$G$204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200"/>
                      <c:pt idx="0">
                        <c:v>-2474.9999996933138</c:v>
                      </c:pt>
                      <c:pt idx="1">
                        <c:v>-2449.9999786129279</c:v>
                      </c:pt>
                      <c:pt idx="2">
                        <c:v>-2424.9998014056214</c:v>
                      </c:pt>
                      <c:pt idx="3">
                        <c:v>-2399.9991371865863</c:v>
                      </c:pt>
                      <c:pt idx="4">
                        <c:v>-2374.9974692611786</c:v>
                      </c:pt>
                      <c:pt idx="5">
                        <c:v>-2349.9941460633072</c:v>
                      </c:pt>
                      <c:pt idx="6">
                        <c:v>-2324.988435449628</c:v>
                      </c:pt>
                      <c:pt idx="7">
                        <c:v>-2299.9795696355336</c:v>
                      </c:pt>
                      <c:pt idx="8">
                        <c:v>-2274.9667786934192</c:v>
                      </c:pt>
                      <c:pt idx="9">
                        <c:v>-2249.9493139925021</c:v>
                      </c:pt>
                      <c:pt idx="10">
                        <c:v>-2224.926463723556</c:v>
                      </c:pt>
                      <c:pt idx="11">
                        <c:v>-2199.8975625158118</c:v>
                      </c:pt>
                      <c:pt idx="12">
                        <c:v>-2174.861996779839</c:v>
                      </c:pt>
                      <c:pt idx="13">
                        <c:v>-2149.8192070288906</c:v>
                      </c:pt>
                      <c:pt idx="14">
                        <c:v>-2124.7686881099103</c:v>
                      </c:pt>
                      <c:pt idx="15">
                        <c:v>-2099.7099880243636</c:v>
                      </c:pt>
                      <c:pt idx="16">
                        <c:v>-2074.6427058298282</c:v>
                      </c:pt>
                      <c:pt idx="17">
                        <c:v>-2049.5664889733739</c:v>
                      </c:pt>
                      <c:pt idx="18">
                        <c:v>-2024.4810303053807</c:v>
                      </c:pt>
                      <c:pt idx="19">
                        <c:v>-1999.3860649480087</c:v>
                      </c:pt>
                      <c:pt idx="20">
                        <c:v>-1974.281367138668</c:v>
                      </c:pt>
                      <c:pt idx="21">
                        <c:v>-1949.1667471299688</c:v>
                      </c:pt>
                      <c:pt idx="22">
                        <c:v>-1924.0420481997073</c:v>
                      </c:pt>
                      <c:pt idx="23">
                        <c:v>-1898.9071438044675</c:v>
                      </c:pt>
                      <c:pt idx="24">
                        <c:v>-1873.7619348962203</c:v>
                      </c:pt>
                      <c:pt idx="25">
                        <c:v>-1848.6063474112927</c:v>
                      </c:pt>
                      <c:pt idx="26">
                        <c:v>-1823.4403299341184</c:v>
                      </c:pt>
                      <c:pt idx="27">
                        <c:v>-1798.2638515334193</c:v>
                      </c:pt>
                      <c:pt idx="28">
                        <c:v>-1773.0768997653036</c:v>
                      </c:pt>
                      <c:pt idx="29">
                        <c:v>-1747.8794788357359</c:v>
                      </c:pt>
                      <c:pt idx="30">
                        <c:v>-1722.6716079136495</c:v>
                      </c:pt>
                      <c:pt idx="31">
                        <c:v>-1697.4533195853378</c:v>
                      </c:pt>
                      <c:pt idx="32">
                        <c:v>-1672.2246584405686</c:v>
                      </c:pt>
                      <c:pt idx="33">
                        <c:v>-1646.9856797809321</c:v>
                      </c:pt>
                      <c:pt idx="34">
                        <c:v>-1621.7364484412003</c:v>
                      </c:pt>
                      <c:pt idx="35">
                        <c:v>-1596.4770377148711</c:v>
                      </c:pt>
                      <c:pt idx="36">
                        <c:v>-1571.207528375526</c:v>
                      </c:pt>
                      <c:pt idx="37">
                        <c:v>-1545.9280077861465</c:v>
                      </c:pt>
                      <c:pt idx="38">
                        <c:v>-1520.6385690890506</c:v>
                      </c:pt>
                      <c:pt idx="39">
                        <c:v>-1495.3393104696338</c:v>
                      </c:pt>
                      <c:pt idx="40">
                        <c:v>-1470.0303344876115</c:v>
                      </c:pt>
                      <c:pt idx="41">
                        <c:v>-1444.7117474699494</c:v>
                      </c:pt>
                      <c:pt idx="42">
                        <c:v>-1419.3836589601301</c:v>
                      </c:pt>
                      <c:pt idx="43">
                        <c:v>-1394.0461812188469</c:v>
                      </c:pt>
                      <c:pt idx="44">
                        <c:v>-1368.6994287716245</c:v>
                      </c:pt>
                      <c:pt idx="45">
                        <c:v>-1343.3435179992423</c:v>
                      </c:pt>
                      <c:pt idx="46">
                        <c:v>-1317.9785667671954</c:v>
                      </c:pt>
                      <c:pt idx="47">
                        <c:v>-1292.6046940907463</c:v>
                      </c:pt>
                      <c:pt idx="48">
                        <c:v>-1267.2220198324248</c:v>
                      </c:pt>
                      <c:pt idx="49">
                        <c:v>-1241.8306644291042</c:v>
                      </c:pt>
                      <c:pt idx="50">
                        <c:v>-1216.4307486460334</c:v>
                      </c:pt>
                      <c:pt idx="51">
                        <c:v>-1191.0223933554362</c:v>
                      </c:pt>
                      <c:pt idx="52">
                        <c:v>-1165.6057193374982</c:v>
                      </c:pt>
                      <c:pt idx="53">
                        <c:v>-1140.1808471017534</c:v>
                      </c:pt>
                      <c:pt idx="54">
                        <c:v>-1114.7478967270563</c:v>
                      </c:pt>
                      <c:pt idx="55">
                        <c:v>-1089.3069877184871</c:v>
                      </c:pt>
                      <c:pt idx="56">
                        <c:v>-1063.8582388796829</c:v>
                      </c:pt>
                      <c:pt idx="57">
                        <c:v>-1038.4017681992154</c:v>
                      </c:pt>
                      <c:pt idx="58">
                        <c:v>-1012.9376927497681</c:v>
                      </c:pt>
                      <c:pt idx="59">
                        <c:v>-987.46612859895879</c:v>
                      </c:pt>
                      <c:pt idx="60">
                        <c:v>-961.98719073077075</c:v>
                      </c:pt>
                      <c:pt idx="61">
                        <c:v>-936.50099297663451</c:v>
                      </c:pt>
                      <c:pt idx="62">
                        <c:v>-911.00764795529369</c:v>
                      </c:pt>
                      <c:pt idx="63">
                        <c:v>-885.50726702065811</c:v>
                      </c:pt>
                      <c:pt idx="64">
                        <c:v>-859.99996021692016</c:v>
                      </c:pt>
                      <c:pt idx="65">
                        <c:v>-834.48583624027333</c:v>
                      </c:pt>
                      <c:pt idx="66">
                        <c:v>-808.96500240662647</c:v>
                      </c:pt>
                      <c:pt idx="67">
                        <c:v>-783.4375646247629</c:v>
                      </c:pt>
                      <c:pt idx="68">
                        <c:v>-757.90362737443866</c:v>
                      </c:pt>
                      <c:pt idx="69">
                        <c:v>-732.36329368896099</c:v>
                      </c:pt>
                      <c:pt idx="70">
                        <c:v>-706.81666514182302</c:v>
                      </c:pt>
                      <c:pt idx="71">
                        <c:v>-681.26384183701202</c:v>
                      </c:pt>
                      <c:pt idx="72">
                        <c:v>-655.70492240263934</c:v>
                      </c:pt>
                      <c:pt idx="73">
                        <c:v>-630.14000398756934</c:v>
                      </c:pt>
                      <c:pt idx="74">
                        <c:v>-604.56918226075436</c:v>
                      </c:pt>
                      <c:pt idx="75">
                        <c:v>-578.99255141300762</c:v>
                      </c:pt>
                      <c:pt idx="76">
                        <c:v>-553.41020416096842</c:v>
                      </c:pt>
                      <c:pt idx="77">
                        <c:v>-527.82223175303398</c:v>
                      </c:pt>
                      <c:pt idx="78">
                        <c:v>-502.22872397705578</c:v>
                      </c:pt>
                      <c:pt idx="79">
                        <c:v>-476.62976916961054</c:v>
                      </c:pt>
                      <c:pt idx="80">
                        <c:v>-451.02545422667629</c:v>
                      </c:pt>
                      <c:pt idx="81">
                        <c:v>-425.41586461555642</c:v>
                      </c:pt>
                      <c:pt idx="82">
                        <c:v>-399.80108438790933</c:v>
                      </c:pt>
                      <c:pt idx="83">
                        <c:v>-374.18119619375381</c:v>
                      </c:pt>
                      <c:pt idx="84">
                        <c:v>-348.55628129632987</c:v>
                      </c:pt>
                      <c:pt idx="85">
                        <c:v>-322.92641958770804</c:v>
                      </c:pt>
                      <c:pt idx="86">
                        <c:v>-297.29168960504666</c:v>
                      </c:pt>
                      <c:pt idx="87">
                        <c:v>-271.65216854740811</c:v>
                      </c:pt>
                      <c:pt idx="88">
                        <c:v>-246.00793229305086</c:v>
                      </c:pt>
                      <c:pt idx="89">
                        <c:v>-220.35905541712253</c:v>
                      </c:pt>
                      <c:pt idx="90">
                        <c:v>-194.70561120968614</c:v>
                      </c:pt>
                      <c:pt idx="91">
                        <c:v>-169.04767169401688</c:v>
                      </c:pt>
                      <c:pt idx="92">
                        <c:v>-143.38530764511358</c:v>
                      </c:pt>
                      <c:pt idx="93">
                        <c:v>-117.71858860837331</c:v>
                      </c:pt>
                      <c:pt idx="94">
                        <c:v>-92.04758291838246</c:v>
                      </c:pt>
                      <c:pt idx="95">
                        <c:v>-66.372357717782762</c:v>
                      </c:pt>
                      <c:pt idx="96">
                        <c:v>-40.692978976173578</c:v>
                      </c:pt>
                      <c:pt idx="97">
                        <c:v>-15.009511509016306</c:v>
                      </c:pt>
                      <c:pt idx="98">
                        <c:v>10.677981003490451</c:v>
                      </c:pt>
                      <c:pt idx="99">
                        <c:v>36.369435997592596</c:v>
                      </c:pt>
                      <c:pt idx="100">
                        <c:v>62.06479200724484</c:v>
                      </c:pt>
                      <c:pt idx="101">
                        <c:v>87.763988645479685</c:v>
                      </c:pt>
                      <c:pt idx="102">
                        <c:v>113.46696658590174</c:v>
                      </c:pt>
                      <c:pt idx="103">
                        <c:v>139.1736675443253</c:v>
                      </c:pt>
                      <c:pt idx="104">
                        <c:v>164.88403426057113</c:v>
                      </c:pt>
                      <c:pt idx="105">
                        <c:v>190.59801048043698</c:v>
                      </c:pt>
                      <c:pt idx="106">
                        <c:v>216.31554093785417</c:v>
                      </c:pt>
                      <c:pt idx="107">
                        <c:v>242.03657133724153</c:v>
                      </c:pt>
                      <c:pt idx="108">
                        <c:v>267.76104833606627</c:v>
                      </c:pt>
                      <c:pt idx="109">
                        <c:v>293.48891952762017</c:v>
                      </c:pt>
                      <c:pt idx="110">
                        <c:v>319.220133424018</c:v>
                      </c:pt>
                      <c:pt idx="111">
                        <c:v>344.95463943942548</c:v>
                      </c:pt>
                      <c:pt idx="112">
                        <c:v>370.69238787352009</c:v>
                      </c:pt>
                      <c:pt idx="113">
                        <c:v>396.43332989519081</c:v>
                      </c:pt>
                      <c:pt idx="114">
                        <c:v>422.1774175264793</c:v>
                      </c:pt>
                      <c:pt idx="115">
                        <c:v>447.9246036267657</c:v>
                      </c:pt>
                      <c:pt idx="116">
                        <c:v>473.67484187720055</c:v>
                      </c:pt>
                      <c:pt idx="117">
                        <c:v>499.4280867653851</c:v>
                      </c:pt>
                      <c:pt idx="118">
                        <c:v>525.18429357030061</c:v>
                      </c:pt>
                      <c:pt idx="119">
                        <c:v>550.94341834748639</c:v>
                      </c:pt>
                      <c:pt idx="120">
                        <c:v>576.70541791446806</c:v>
                      </c:pt>
                      <c:pt idx="121">
                        <c:v>602.47024983643382</c:v>
                      </c:pt>
                      <c:pt idx="122">
                        <c:v>628.23787241215939</c:v>
                      </c:pt>
                      <c:pt idx="123">
                        <c:v>654.00824466017957</c:v>
                      </c:pt>
                      <c:pt idx="124">
                        <c:v>679.78132630520497</c:v>
                      </c:pt>
                      <c:pt idx="125">
                        <c:v>705.55707776478312</c:v>
                      </c:pt>
                      <c:pt idx="126">
                        <c:v>731.33546013620105</c:v>
                      </c:pt>
                      <c:pt idx="127">
                        <c:v>757.11643518362735</c:v>
                      </c:pt>
                      <c:pt idx="128">
                        <c:v>782.89996532549139</c:v>
                      </c:pt>
                      <c:pt idx="129">
                        <c:v>808.68601362209779</c:v>
                      </c:pt>
                      <c:pt idx="130">
                        <c:v>834.47454376347218</c:v>
                      </c:pt>
                      <c:pt idx="131">
                        <c:v>860.26552005743702</c:v>
                      </c:pt>
                      <c:pt idx="132">
                        <c:v>886.05890741791291</c:v>
                      </c:pt>
                      <c:pt idx="133">
                        <c:v>911.85467135344368</c:v>
                      </c:pt>
                      <c:pt idx="134">
                        <c:v>937.6527779559417</c:v>
                      </c:pt>
                      <c:pt idx="135">
                        <c:v>963.45319388964992</c:v>
                      </c:pt>
                      <c:pt idx="136">
                        <c:v>989.25588638031809</c:v>
                      </c:pt>
                      <c:pt idx="137">
                        <c:v>1015.0608232045889</c:v>
                      </c:pt>
                      <c:pt idx="138">
                        <c:v>1040.8679726795922</c:v>
                      </c:pt>
                      <c:pt idx="139">
                        <c:v>1066.6773036527427</c:v>
                      </c:pt>
                      <c:pt idx="140">
                        <c:v>1092.4887854917376</c:v>
                      </c:pt>
                      <c:pt idx="141">
                        <c:v>1118.3023880747523</c:v>
                      </c:pt>
                      <c:pt idx="142">
                        <c:v>1144.1180817808304</c:v>
                      </c:pt>
                      <c:pt idx="143">
                        <c:v>1169.9358374804613</c:v>
                      </c:pt>
                      <c:pt idx="144">
                        <c:v>1195.7556265263493</c:v>
                      </c:pt>
                      <c:pt idx="145">
                        <c:v>1221.5774207443617</c:v>
                      </c:pt>
                      <c:pt idx="146">
                        <c:v>1247.4011924246615</c:v>
                      </c:pt>
                      <c:pt idx="147">
                        <c:v>1273.226914313014</c:v>
                      </c:pt>
                      <c:pt idx="148">
                        <c:v>1299.0545596022691</c:v>
                      </c:pt>
                      <c:pt idx="149">
                        <c:v>1324.8841019240126</c:v>
                      </c:pt>
                      <c:pt idx="150">
                        <c:v>1350.7155153403862</c:v>
                      </c:pt>
                      <c:pt idx="151">
                        <c:v>1376.5487743360711</c:v>
                      </c:pt>
                      <c:pt idx="152">
                        <c:v>1402.3838538104319</c:v>
                      </c:pt>
                      <c:pt idx="153">
                        <c:v>1428.2207290698188</c:v>
                      </c:pt>
                      <c:pt idx="154">
                        <c:v>1454.0593758200243</c:v>
                      </c:pt>
                      <c:pt idx="155">
                        <c:v>1479.8997701588924</c:v>
                      </c:pt>
                      <c:pt idx="156">
                        <c:v>1505.741888569074</c:v>
                      </c:pt>
                      <c:pt idx="157">
                        <c:v>1531.5857079109317</c:v>
                      </c:pt>
                      <c:pt idx="158">
                        <c:v>1557.4312054155835</c:v>
                      </c:pt>
                      <c:pt idx="159">
                        <c:v>1583.278358678089</c:v>
                      </c:pt>
                      <c:pt idx="160">
                        <c:v>1609.1271456507718</c:v>
                      </c:pt>
                      <c:pt idx="161">
                        <c:v>1634.9775446366748</c:v>
                      </c:pt>
                      <c:pt idx="162">
                        <c:v>1660.8295342831502</c:v>
                      </c:pt>
                      <c:pt idx="163">
                        <c:v>1686.6830935755743</c:v>
                      </c:pt>
                      <c:pt idx="164">
                        <c:v>1712.5382018311921</c:v>
                      </c:pt>
                      <c:pt idx="165">
                        <c:v>1738.3948386930829</c:v>
                      </c:pt>
                      <c:pt idx="166">
                        <c:v>1764.2529841242481</c:v>
                      </c:pt>
                      <c:pt idx="167">
                        <c:v>1790.1126184018167</c:v>
                      </c:pt>
                      <c:pt idx="168">
                        <c:v>1815.9737221113687</c:v>
                      </c:pt>
                      <c:pt idx="169">
                        <c:v>1841.8362761413684</c:v>
                      </c:pt>
                      <c:pt idx="170">
                        <c:v>1867.7002616777138</c:v>
                      </c:pt>
                      <c:pt idx="171">
                        <c:v>1893.5656601983903</c:v>
                      </c:pt>
                      <c:pt idx="172">
                        <c:v>1919.4324534682339</c:v>
                      </c:pt>
                      <c:pt idx="173">
                        <c:v>1945.300623533798</c:v>
                      </c:pt>
                      <c:pt idx="174">
                        <c:v>1971.1701527183218</c:v>
                      </c:pt>
                      <c:pt idx="175">
                        <c:v>1997.0410236168</c:v>
                      </c:pt>
                      <c:pt idx="176">
                        <c:v>2022.9132190911489</c:v>
                      </c:pt>
                      <c:pt idx="177">
                        <c:v>2048.78672226547</c:v>
                      </c:pt>
                      <c:pt idx="178">
                        <c:v>2074.6615165214052</c:v>
                      </c:pt>
                      <c:pt idx="179">
                        <c:v>2100.5375854935874</c:v>
                      </c:pt>
                      <c:pt idx="180">
                        <c:v>2126.4149130651763</c:v>
                      </c:pt>
                      <c:pt idx="181">
                        <c:v>2152.2934833634877</c:v>
                      </c:pt>
                      <c:pt idx="182">
                        <c:v>2178.1732807557032</c:v>
                      </c:pt>
                      <c:pt idx="183">
                        <c:v>2204.0542898446702</c:v>
                      </c:pt>
                      <c:pt idx="184">
                        <c:v>2229.9364954647785</c:v>
                      </c:pt>
                      <c:pt idx="185">
                        <c:v>2255.8198826779221</c:v>
                      </c:pt>
                      <c:pt idx="186">
                        <c:v>2281.7044367695394</c:v>
                      </c:pt>
                      <c:pt idx="187">
                        <c:v>2307.5901432447281</c:v>
                      </c:pt>
                      <c:pt idx="188">
                        <c:v>2333.4769878244401</c:v>
                      </c:pt>
                      <c:pt idx="189">
                        <c:v>2359.3649564417469</c:v>
                      </c:pt>
                      <c:pt idx="190">
                        <c:v>2385.2540352381798</c:v>
                      </c:pt>
                      <c:pt idx="191">
                        <c:v>2411.1442105601395</c:v>
                      </c:pt>
                      <c:pt idx="192">
                        <c:v>2437.0354689553792</c:v>
                      </c:pt>
                      <c:pt idx="193">
                        <c:v>2462.9277971695501</c:v>
                      </c:pt>
                      <c:pt idx="194">
                        <c:v>2488.8211821428172</c:v>
                      </c:pt>
                      <c:pt idx="195">
                        <c:v>2514.7156110065407</c:v>
                      </c:pt>
                      <c:pt idx="196">
                        <c:v>2540.6110710800203</c:v>
                      </c:pt>
                      <c:pt idx="197">
                        <c:v>2566.5075498673004</c:v>
                      </c:pt>
                      <c:pt idx="198">
                        <c:v>2592.4050350540419</c:v>
                      </c:pt>
                      <c:pt idx="199">
                        <c:v>2618.3035145044455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858-4C83-AEE4-DA1BF952029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Portefeuille</c:v>
                </c:tx>
                <c:spPr>
                  <a:ln w="127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'Profil Action '!$A$4:$A$204</c15:sqref>
                        </c15:formulaRef>
                      </c:ext>
                    </c:extLst>
                    <c:strCache>
                      <c:ptCount val="201"/>
                      <c:pt idx="0">
                        <c:v>Prix Action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'Profil Action '!$H$5:$H$204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4.6113005133397804</c:v>
                      </c:pt>
                      <c:pt idx="1">
                        <c:v>7.6822947324681108</c:v>
                      </c:pt>
                      <c:pt idx="2">
                        <c:v>10.172058252111967</c:v>
                      </c:pt>
                      <c:pt idx="3">
                        <c:v>12.284755368383296</c:v>
                      </c:pt>
                      <c:pt idx="4">
                        <c:v>14.117710036343622</c:v>
                      </c:pt>
                      <c:pt idx="5">
                        <c:v>15.728592048426204</c:v>
                      </c:pt>
                      <c:pt idx="6">
                        <c:v>17.155809282071552</c:v>
                      </c:pt>
                      <c:pt idx="7">
                        <c:v>18.426907202762191</c:v>
                      </c:pt>
                      <c:pt idx="8">
                        <c:v>19.562677393099328</c:v>
                      </c:pt>
                      <c:pt idx="9">
                        <c:v>20.579409262987131</c:v>
                      </c:pt>
                      <c:pt idx="10">
                        <c:v>21.490229659873826</c:v>
                      </c:pt>
                      <c:pt idx="11">
                        <c:v>22.305951300189225</c:v>
                      </c:pt>
                      <c:pt idx="12">
                        <c:v>23.035637409988748</c:v>
                      </c:pt>
                      <c:pt idx="13">
                        <c:v>23.686992959131327</c:v>
                      </c:pt>
                      <c:pt idx="14">
                        <c:v>24.266644971520957</c:v>
                      </c:pt>
                      <c:pt idx="15">
                        <c:v>24.780349108939536</c:v>
                      </c:pt>
                      <c:pt idx="16">
                        <c:v>25.233145628885136</c:v>
                      </c:pt>
                      <c:pt idx="17">
                        <c:v>25.629479588464694</c:v>
                      </c:pt>
                      <c:pt idx="18">
                        <c:v>25.973295171965269</c:v>
                      </c:pt>
                      <c:pt idx="19">
                        <c:v>26.268110883860203</c:v>
                      </c:pt>
                      <c:pt idx="20">
                        <c:v>26.517080320840925</c:v>
                      </c:pt>
                      <c:pt idx="21">
                        <c:v>26.723041889870142</c:v>
                      </c:pt>
                      <c:pt idx="22">
                        <c:v>26.888559924021258</c:v>
                      </c:pt>
                      <c:pt idx="23">
                        <c:v>27.015959012603044</c:v>
                      </c:pt>
                      <c:pt idx="24">
                        <c:v>27.107352912665455</c:v>
                      </c:pt>
                      <c:pt idx="25">
                        <c:v>27.164669085520359</c:v>
                      </c:pt>
                      <c:pt idx="26">
                        <c:v>27.189669665394579</c:v>
                      </c:pt>
                      <c:pt idx="27">
                        <c:v>27.183969491870513</c:v>
                      </c:pt>
                      <c:pt idx="28">
                        <c:v>27.149051705859733</c:v>
                      </c:pt>
                      <c:pt idx="29">
                        <c:v>27.086281308461896</c:v>
                      </c:pt>
                      <c:pt idx="30">
                        <c:v>26.996917004785203</c:v>
                      </c:pt>
                      <c:pt idx="31">
                        <c:v>26.882121594692922</c:v>
                      </c:pt>
                      <c:pt idx="32">
                        <c:v>26.742971125223711</c:v>
                      </c:pt>
                      <c:pt idx="33">
                        <c:v>26.580462982007496</c:v>
                      </c:pt>
                      <c:pt idx="34">
                        <c:v>26.395523067081569</c:v>
                      </c:pt>
                      <c:pt idx="35">
                        <c:v>26.189012186408192</c:v>
                      </c:pt>
                      <c:pt idx="36">
                        <c:v>25.961731750833096</c:v>
                      </c:pt>
                      <c:pt idx="37">
                        <c:v>25.714428878236617</c:v>
                      </c:pt>
                      <c:pt idx="38">
                        <c:v>25.447800971481939</c:v>
                      </c:pt>
                      <c:pt idx="39">
                        <c:v>25.16249983588424</c:v>
                      </c:pt>
                      <c:pt idx="40">
                        <c:v>24.859135390871966</c:v>
                      </c:pt>
                      <c:pt idx="41">
                        <c:v>24.53827902293764</c:v>
                      </c:pt>
                      <c:pt idx="42">
                        <c:v>24.200466620608569</c:v>
                      </c:pt>
                      <c:pt idx="43">
                        <c:v>23.846201326789213</c:v>
                      </c:pt>
                      <c:pt idx="44">
                        <c:v>23.475956039264034</c:v>
                      </c:pt>
                      <c:pt idx="45">
                        <c:v>23.090175686261858</c:v>
                      </c:pt>
                      <c:pt idx="46">
                        <c:v>22.689279300657439</c:v>
                      </c:pt>
                      <c:pt idx="47">
                        <c:v>22.273661913531164</c:v>
                      </c:pt>
                      <c:pt idx="48">
                        <c:v>21.843696285348269</c:v>
                      </c:pt>
                      <c:pt idx="49">
                        <c:v>21.399734490892641</c:v>
                      </c:pt>
                      <c:pt idx="50">
                        <c:v>20.942109372246598</c:v>
                      </c:pt>
                      <c:pt idx="51">
                        <c:v>20.471135872504469</c:v>
                      </c:pt>
                      <c:pt idx="52">
                        <c:v>19.987112261508976</c:v>
                      </c:pt>
                      <c:pt idx="53">
                        <c:v>19.490321263675646</c:v>
                      </c:pt>
                      <c:pt idx="54">
                        <c:v>18.981031096898292</c:v>
                      </c:pt>
                      <c:pt idx="55">
                        <c:v>18.459496430584732</c:v>
                      </c:pt>
                      <c:pt idx="56">
                        <c:v>17.925959270041531</c:v>
                      </c:pt>
                      <c:pt idx="57">
                        <c:v>17.380649773692401</c:v>
                      </c:pt>
                      <c:pt idx="58">
                        <c:v>16.823787008965205</c:v>
                      </c:pt>
                      <c:pt idx="59">
                        <c:v>16.255579652107226</c:v>
                      </c:pt>
                      <c:pt idx="60">
                        <c:v>15.676226636675505</c:v>
                      </c:pt>
                      <c:pt idx="61">
                        <c:v>15.085917754994375</c:v>
                      </c:pt>
                      <c:pt idx="62">
                        <c:v>14.484834216465375</c:v>
                      </c:pt>
                      <c:pt idx="63">
                        <c:v>13.873149166251745</c:v>
                      </c:pt>
                      <c:pt idx="64">
                        <c:v>13.251028167534887</c:v>
                      </c:pt>
                      <c:pt idx="65">
                        <c:v>12.618629650248838</c:v>
                      </c:pt>
                      <c:pt idx="66">
                        <c:v>11.976105328937281</c:v>
                      </c:pt>
                      <c:pt idx="67">
                        <c:v>11.323600592142654</c:v>
                      </c:pt>
                      <c:pt idx="68">
                        <c:v>10.661254865525088</c:v>
                      </c:pt>
                      <c:pt idx="69">
                        <c:v>9.989201950718142</c:v>
                      </c:pt>
                      <c:pt idx="70">
                        <c:v>9.3075703417560014</c:v>
                      </c:pt>
                      <c:pt idx="71">
                        <c:v>8.6164835207508634</c:v>
                      </c:pt>
                      <c:pt idx="72">
                        <c:v>7.9160602343585325</c:v>
                      </c:pt>
                      <c:pt idx="73">
                        <c:v>7.2064147524420079</c:v>
                      </c:pt>
                      <c:pt idx="74">
                        <c:v>6.4876571102274241</c:v>
                      </c:pt>
                      <c:pt idx="75">
                        <c:v>5.7598933351409887</c:v>
                      </c:pt>
                      <c:pt idx="76">
                        <c:v>5.023225659419797</c:v>
                      </c:pt>
                      <c:pt idx="77">
                        <c:v>4.2777527195026792</c:v>
                      </c:pt>
                      <c:pt idx="78">
                        <c:v>3.523569743127041</c:v>
                      </c:pt>
                      <c:pt idx="79">
                        <c:v>2.7607687249858657</c:v>
                      </c:pt>
                      <c:pt idx="80">
                        <c:v>1.9894385917324087</c:v>
                      </c:pt>
                      <c:pt idx="81">
                        <c:v>1.2096653570599756</c:v>
                      </c:pt>
                      <c:pt idx="82">
                        <c:v>0.42153226752839146</c:v>
                      </c:pt>
                      <c:pt idx="83">
                        <c:v>-0.374880060241221</c:v>
                      </c:pt>
                      <c:pt idx="84">
                        <c:v>-1.1794935104289301</c:v>
                      </c:pt>
                      <c:pt idx="85">
                        <c:v>-1.992232346403398</c:v>
                      </c:pt>
                      <c:pt idx="86">
                        <c:v>-2.8130230961409168</c:v>
                      </c:pt>
                      <c:pt idx="87">
                        <c:v>-3.641794444219375</c:v>
                      </c:pt>
                      <c:pt idx="88">
                        <c:v>-4.4784771299623287</c:v>
                      </c:pt>
                      <c:pt idx="89">
                        <c:v>-5.3230038513399123</c:v>
                      </c:pt>
                      <c:pt idx="90">
                        <c:v>-6.175309174260633</c:v>
                      </c:pt>
                      <c:pt idx="91">
                        <c:v>-7.035329446913881</c:v>
                      </c:pt>
                      <c:pt idx="92">
                        <c:v>-7.9030027188472722</c:v>
                      </c:pt>
                      <c:pt idx="93">
                        <c:v>-8.7782686644841732</c:v>
                      </c:pt>
                      <c:pt idx="94">
                        <c:v>-9.6610685108076808</c:v>
                      </c:pt>
                      <c:pt idx="95">
                        <c:v>-10.551344968955547</c:v>
                      </c:pt>
                      <c:pt idx="96">
                        <c:v>-11.449042169488322</c:v>
                      </c:pt>
                      <c:pt idx="97">
                        <c:v>-12.354105601108635</c:v>
                      </c:pt>
                      <c:pt idx="98">
                        <c:v>-13.26648205262439</c:v>
                      </c:pt>
                      <c:pt idx="99">
                        <c:v>-14.186119557962961</c:v>
                      </c:pt>
                      <c:pt idx="100">
                        <c:v>-15.112967344055136</c:v>
                      </c:pt>
                      <c:pt idx="101">
                        <c:v>-16.046975781420691</c:v>
                      </c:pt>
                      <c:pt idx="102">
                        <c:v>-16.988096337297236</c:v>
                      </c:pt>
                      <c:pt idx="103">
                        <c:v>-17.936281531164994</c:v>
                      </c:pt>
                      <c:pt idx="104">
                        <c:v>-18.89148489252927</c:v>
                      </c:pt>
                      <c:pt idx="105">
                        <c:v>-19.853660920831288</c:v>
                      </c:pt>
                      <c:pt idx="106">
                        <c:v>-20.822765047366069</c:v>
                      </c:pt>
                      <c:pt idx="107">
                        <c:v>-21.798753599093892</c:v>
                      </c:pt>
                      <c:pt idx="108">
                        <c:v>-22.781583764238952</c:v>
                      </c:pt>
                      <c:pt idx="109">
                        <c:v>-23.771213559575131</c:v>
                      </c:pt>
                      <c:pt idx="110">
                        <c:v>-24.767601799305275</c:v>
                      </c:pt>
                      <c:pt idx="111">
                        <c:v>-25.770708065446037</c:v>
                      </c:pt>
                      <c:pt idx="112">
                        <c:v>-26.780492679635636</c:v>
                      </c:pt>
                      <c:pt idx="113">
                        <c:v>-27.796916676287047</c:v>
                      </c:pt>
                      <c:pt idx="114">
                        <c:v>-28.819941777013156</c:v>
                      </c:pt>
                      <c:pt idx="115">
                        <c:v>-29.849530366256147</c:v>
                      </c:pt>
                      <c:pt idx="116">
                        <c:v>-30.885645468055849</c:v>
                      </c:pt>
                      <c:pt idx="117">
                        <c:v>-31.928250723896724</c:v>
                      </c:pt>
                      <c:pt idx="118">
                        <c:v>-32.97731037157623</c:v>
                      </c:pt>
                      <c:pt idx="119">
                        <c:v>-34.032789225040936</c:v>
                      </c:pt>
                      <c:pt idx="120">
                        <c:v>-35.094652655139335</c:v>
                      </c:pt>
                      <c:pt idx="121">
                        <c:v>-36.162866571244109</c:v>
                      </c:pt>
                      <c:pt idx="122">
                        <c:v>-37.237397403698466</c:v>
                      </c:pt>
                      <c:pt idx="123">
                        <c:v>-38.318212087044053</c:v>
                      </c:pt>
                      <c:pt idx="124">
                        <c:v>-39.405278043990862</c:v>
                      </c:pt>
                      <c:pt idx="125">
                        <c:v>-40.498563170091025</c:v>
                      </c:pt>
                      <c:pt idx="126">
                        <c:v>-41.598035819080543</c:v>
                      </c:pt>
                      <c:pt idx="127">
                        <c:v>-42.70366478885628</c:v>
                      </c:pt>
                      <c:pt idx="128">
                        <c:v>-43.815419308055127</c:v>
                      </c:pt>
                      <c:pt idx="129">
                        <c:v>-44.933269023206464</c:v>
                      </c:pt>
                      <c:pt idx="130">
                        <c:v>-46.057183986428754</c:v>
                      </c:pt>
                      <c:pt idx="131">
                        <c:v>-47.187134643643937</c:v>
                      </c:pt>
                      <c:pt idx="132">
                        <c:v>-48.323091823283853</c:v>
                      </c:pt>
                      <c:pt idx="133">
                        <c:v>-49.465026725465059</c:v>
                      </c:pt>
                      <c:pt idx="134">
                        <c:v>-50.612910911608999</c:v>
                      </c:pt>
                      <c:pt idx="135">
                        <c:v>-51.766716294486343</c:v>
                      </c:pt>
                      <c:pt idx="136">
                        <c:v>-52.926415128664829</c:v>
                      </c:pt>
                      <c:pt idx="137">
                        <c:v>-54.091980001341796</c:v>
                      </c:pt>
                      <c:pt idx="138">
                        <c:v>-55.263383823542668</c:v>
                      </c:pt>
                      <c:pt idx="139">
                        <c:v>-56.440599821668187</c:v>
                      </c:pt>
                      <c:pt idx="140">
                        <c:v>-57.623601529374469</c:v>
                      </c:pt>
                      <c:pt idx="141">
                        <c:v>-58.812362779769842</c:v>
                      </c:pt>
                      <c:pt idx="142">
                        <c:v>-60.006857697913716</c:v>
                      </c:pt>
                      <c:pt idx="143">
                        <c:v>-61.207060693604134</c:v>
                      </c:pt>
                      <c:pt idx="144">
                        <c:v>-62.412946454439776</c:v>
                      </c:pt>
                      <c:pt idx="145">
                        <c:v>-63.624489939144766</c:v>
                      </c:pt>
                      <c:pt idx="146">
                        <c:v>-64.841666371143845</c:v>
                      </c:pt>
                      <c:pt idx="147">
                        <c:v>-66.064451232376484</c:v>
                      </c:pt>
                      <c:pt idx="148">
                        <c:v>-67.292820257339599</c:v>
                      </c:pt>
                      <c:pt idx="149">
                        <c:v>-68.526749427348236</c:v>
                      </c:pt>
                      <c:pt idx="150">
                        <c:v>-69.766214965004622</c:v>
                      </c:pt>
                      <c:pt idx="151">
                        <c:v>-71.011193328866725</c:v>
                      </c:pt>
                      <c:pt idx="152">
                        <c:v>-72.261661208306506</c:v>
                      </c:pt>
                      <c:pt idx="153">
                        <c:v>-73.517595518550991</c:v>
                      </c:pt>
                      <c:pt idx="154">
                        <c:v>-74.77897339589677</c:v>
                      </c:pt>
                      <c:pt idx="155">
                        <c:v>-76.045772193091651</c:v>
                      </c:pt>
                      <c:pt idx="156">
                        <c:v>-77.317969474874957</c:v>
                      </c:pt>
                      <c:pt idx="157">
                        <c:v>-78.595543013670977</c:v>
                      </c:pt>
                      <c:pt idx="158">
                        <c:v>-79.878470785427993</c:v>
                      </c:pt>
                      <c:pt idx="159">
                        <c:v>-81.166730965597253</c:v>
                      </c:pt>
                      <c:pt idx="160">
                        <c:v>-82.460301925245886</c:v>
                      </c:pt>
                      <c:pt idx="161">
                        <c:v>-83.75916222729785</c:v>
                      </c:pt>
                      <c:pt idx="162">
                        <c:v>-85.063290622898037</c:v>
                      </c:pt>
                      <c:pt idx="163">
                        <c:v>-86.372666047894086</c:v>
                      </c:pt>
                      <c:pt idx="164">
                        <c:v>-87.687267619430884</c:v>
                      </c:pt>
                      <c:pt idx="165">
                        <c:v>-89.00707463265374</c:v>
                      </c:pt>
                      <c:pt idx="166">
                        <c:v>-90.332066557515091</c:v>
                      </c:pt>
                      <c:pt idx="167">
                        <c:v>-91.662223035681109</c:v>
                      </c:pt>
                      <c:pt idx="168">
                        <c:v>-92.997523877533581</c:v>
                      </c:pt>
                      <c:pt idx="169">
                        <c:v>-94.33794905926365</c:v>
                      </c:pt>
                      <c:pt idx="170">
                        <c:v>-95.68347872005414</c:v>
                      </c:pt>
                      <c:pt idx="171">
                        <c:v>-97.034093159345488</c:v>
                      </c:pt>
                      <c:pt idx="172">
                        <c:v>-98.389772834183844</c:v>
                      </c:pt>
                      <c:pt idx="173">
                        <c:v>-99.750498356646688</c:v>
                      </c:pt>
                      <c:pt idx="174">
                        <c:v>-101.11625049134375</c:v>
                      </c:pt>
                      <c:pt idx="175">
                        <c:v>-102.48701015298965</c:v>
                      </c:pt>
                      <c:pt idx="176">
                        <c:v>-103.86275840404609</c:v>
                      </c:pt>
                      <c:pt idx="177">
                        <c:v>-105.24347645243111</c:v>
                      </c:pt>
                      <c:pt idx="178">
                        <c:v>-106.62914564929127</c:v>
                      </c:pt>
                      <c:pt idx="179">
                        <c:v>-108.01974748683668</c:v>
                      </c:pt>
                      <c:pt idx="180">
                        <c:v>-109.41526359623474</c:v>
                      </c:pt>
                      <c:pt idx="181">
                        <c:v>-110.81567574556149</c:v>
                      </c:pt>
                      <c:pt idx="182">
                        <c:v>-112.22096583780692</c:v>
                      </c:pt>
                      <c:pt idx="183">
                        <c:v>-113.63111590893479</c:v>
                      </c:pt>
                      <c:pt idx="184">
                        <c:v>-115.04610812599176</c:v>
                      </c:pt>
                      <c:pt idx="185">
                        <c:v>-116.46592478526718</c:v>
                      </c:pt>
                      <c:pt idx="186">
                        <c:v>-117.89054831049914</c:v>
                      </c:pt>
                      <c:pt idx="187">
                        <c:v>-119.31996125112647</c:v>
                      </c:pt>
                      <c:pt idx="188">
                        <c:v>-120.75414628058547</c:v>
                      </c:pt>
                      <c:pt idx="189">
                        <c:v>-122.19308619464746</c:v>
                      </c:pt>
                      <c:pt idx="190">
                        <c:v>-123.6367639097991</c:v>
                      </c:pt>
                      <c:pt idx="191">
                        <c:v>-125.08516246166094</c:v>
                      </c:pt>
                      <c:pt idx="192">
                        <c:v>-126.53826500344425</c:v>
                      </c:pt>
                      <c:pt idx="193">
                        <c:v>-127.99605480444546</c:v>
                      </c:pt>
                      <c:pt idx="194">
                        <c:v>-129.458515248575</c:v>
                      </c:pt>
                      <c:pt idx="195">
                        <c:v>-130.92562983292095</c:v>
                      </c:pt>
                      <c:pt idx="196">
                        <c:v>-132.39738216634623</c:v>
                      </c:pt>
                      <c:pt idx="197">
                        <c:v>-133.873755968117</c:v>
                      </c:pt>
                      <c:pt idx="198">
                        <c:v>-135.35473506656245</c:v>
                      </c:pt>
                      <c:pt idx="199">
                        <c:v>-136.84030339776464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858-4C83-AEE4-DA1BF952029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Prix Option</c:v>
                </c:tx>
                <c:spPr>
                  <a:ln w="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'Profil Action '!$A$5:$A$204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'Profil Action '!$F$5:$F$204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200"/>
                      <c:pt idx="0">
                        <c:v>3.0668634674060133E-7</c:v>
                      </c:pt>
                      <c:pt idx="1">
                        <c:v>2.1387072231342845E-5</c:v>
                      </c:pt>
                      <c:pt idx="2">
                        <c:v>1.9859437869561693E-4</c:v>
                      </c:pt>
                      <c:pt idx="3">
                        <c:v>8.6281341351545585E-4</c:v>
                      </c:pt>
                      <c:pt idx="4">
                        <c:v>2.5307388214504609E-3</c:v>
                      </c:pt>
                      <c:pt idx="5">
                        <c:v>5.8539366926316505E-3</c:v>
                      </c:pt>
                      <c:pt idx="6">
                        <c:v>1.156455037216992E-2</c:v>
                      </c:pt>
                      <c:pt idx="7">
                        <c:v>2.043036446658901E-2</c:v>
                      </c:pt>
                      <c:pt idx="8">
                        <c:v>3.3221306580608678E-2</c:v>
                      </c:pt>
                      <c:pt idx="9">
                        <c:v>5.0686007497739299E-2</c:v>
                      </c:pt>
                      <c:pt idx="10">
                        <c:v>7.3536276443909754E-2</c:v>
                      </c:pt>
                      <c:pt idx="11">
                        <c:v>0.1024374841880128</c:v>
                      </c:pt>
                      <c:pt idx="12">
                        <c:v>0.13800322016073663</c:v>
                      </c:pt>
                      <c:pt idx="13">
                        <c:v>0.18079297110948778</c:v>
                      </c:pt>
                      <c:pt idx="14">
                        <c:v>0.23131189008960262</c:v>
                      </c:pt>
                      <c:pt idx="15">
                        <c:v>0.29001197563624426</c:v>
                      </c:pt>
                      <c:pt idx="16">
                        <c:v>0.35729417017193854</c:v>
                      </c:pt>
                      <c:pt idx="17">
                        <c:v>0.43351102662616525</c:v>
                      </c:pt>
                      <c:pt idx="18">
                        <c:v>0.51896969461930809</c:v>
                      </c:pt>
                      <c:pt idx="19">
                        <c:v>0.61393505199130893</c:v>
                      </c:pt>
                      <c:pt idx="20">
                        <c:v>0.718632861331997</c:v>
                      </c:pt>
                      <c:pt idx="21">
                        <c:v>0.8332528700311892</c:v>
                      </c:pt>
                      <c:pt idx="22">
                        <c:v>0.9579518002927494</c:v>
                      </c:pt>
                      <c:pt idx="23">
                        <c:v>1.0928561955324914</c:v>
                      </c:pt>
                      <c:pt idx="24">
                        <c:v>1.2380651037796047</c:v>
                      </c:pt>
                      <c:pt idx="25">
                        <c:v>1.3936525887072073</c:v>
                      </c:pt>
                      <c:pt idx="26">
                        <c:v>1.5596700658817153</c:v>
                      </c:pt>
                      <c:pt idx="27">
                        <c:v>1.7361484665806914</c:v>
                      </c:pt>
                      <c:pt idx="28">
                        <c:v>1.9231002346965105</c:v>
                      </c:pt>
                      <c:pt idx="29">
                        <c:v>2.120521164264026</c:v>
                      </c:pt>
                      <c:pt idx="30">
                        <c:v>2.3283920863504299</c:v>
                      </c:pt>
                      <c:pt idx="31">
                        <c:v>2.5466804146621778</c:v>
                      </c:pt>
                      <c:pt idx="32">
                        <c:v>2.7753415594313067</c:v>
                      </c:pt>
                      <c:pt idx="33">
                        <c:v>3.0143202190679306</c:v>
                      </c:pt>
                      <c:pt idx="34">
                        <c:v>3.2635515587996569</c:v>
                      </c:pt>
                      <c:pt idx="35">
                        <c:v>3.5229622851289424</c:v>
                      </c:pt>
                      <c:pt idx="36">
                        <c:v>3.792471624474123</c:v>
                      </c:pt>
                      <c:pt idx="37">
                        <c:v>4.0719922138534912</c:v>
                      </c:pt>
                      <c:pt idx="38">
                        <c:v>4.3614309109493252</c:v>
                      </c:pt>
                      <c:pt idx="39">
                        <c:v>4.6606895303662421</c:v>
                      </c:pt>
                      <c:pt idx="40">
                        <c:v>4.9696655123884916</c:v>
                      </c:pt>
                      <c:pt idx="41">
                        <c:v>5.2882525300505669</c:v>
                      </c:pt>
                      <c:pt idx="42">
                        <c:v>5.6163410398699654</c:v>
                      </c:pt>
                      <c:pt idx="43">
                        <c:v>5.9538187811530694</c:v>
                      </c:pt>
                      <c:pt idx="44">
                        <c:v>6.3005712283754534</c:v>
                      </c:pt>
                      <c:pt idx="45">
                        <c:v>6.656482000757606</c:v>
                      </c:pt>
                      <c:pt idx="46">
                        <c:v>7.0214332328046147</c:v>
                      </c:pt>
                      <c:pt idx="47">
                        <c:v>7.3953059092538069</c:v>
                      </c:pt>
                      <c:pt idx="48">
                        <c:v>7.7779801675751887</c:v>
                      </c:pt>
                      <c:pt idx="49">
                        <c:v>8.1693355708956847</c:v>
                      </c:pt>
                      <c:pt idx="50">
                        <c:v>8.5692513539665462</c:v>
                      </c:pt>
                      <c:pt idx="51">
                        <c:v>8.9776066445638847</c:v>
                      </c:pt>
                      <c:pt idx="52">
                        <c:v>9.3942806625018811</c:v>
                      </c:pt>
                      <c:pt idx="53">
                        <c:v>9.8191528982466316</c:v>
                      </c:pt>
                      <c:pt idx="54">
                        <c:v>10.252103272943712</c:v>
                      </c:pt>
                      <c:pt idx="55">
                        <c:v>10.693012281512784</c:v>
                      </c:pt>
                      <c:pt idx="56">
                        <c:v>11.14176112031725</c:v>
                      </c:pt>
                      <c:pt idx="57">
                        <c:v>11.598231800784641</c:v>
                      </c:pt>
                      <c:pt idx="58">
                        <c:v>12.062307250231932</c:v>
                      </c:pt>
                      <c:pt idx="59">
                        <c:v>12.533871401041178</c:v>
                      </c:pt>
                      <c:pt idx="60">
                        <c:v>13.012809269229297</c:v>
                      </c:pt>
                      <c:pt idx="61">
                        <c:v>13.4990070233655</c:v>
                      </c:pt>
                      <c:pt idx="62">
                        <c:v>13.992352044706269</c:v>
                      </c:pt>
                      <c:pt idx="63">
                        <c:v>14.492732979341916</c:v>
                      </c:pt>
                      <c:pt idx="64">
                        <c:v>15.00003978307986</c:v>
                      </c:pt>
                      <c:pt idx="65">
                        <c:v>15.514163759726681</c:v>
                      </c:pt>
                      <c:pt idx="66">
                        <c:v>16.034997593373514</c:v>
                      </c:pt>
                      <c:pt idx="67">
                        <c:v>16.56243537523715</c:v>
                      </c:pt>
                      <c:pt idx="68">
                        <c:v>17.096372625561298</c:v>
                      </c:pt>
                      <c:pt idx="69">
                        <c:v>17.636706311038953</c:v>
                      </c:pt>
                      <c:pt idx="70">
                        <c:v>18.183334858177005</c:v>
                      </c:pt>
                      <c:pt idx="71">
                        <c:v>18.736158162987977</c:v>
                      </c:pt>
                      <c:pt idx="72">
                        <c:v>19.295077597360624</c:v>
                      </c:pt>
                      <c:pt idx="73">
                        <c:v>19.859996012430678</c:v>
                      </c:pt>
                      <c:pt idx="74">
                        <c:v>20.430817739245683</c:v>
                      </c:pt>
                      <c:pt idx="75">
                        <c:v>21.007448586992343</c:v>
                      </c:pt>
                      <c:pt idx="76">
                        <c:v>21.589795839031598</c:v>
                      </c:pt>
                      <c:pt idx="77">
                        <c:v>22.177768246966046</c:v>
                      </c:pt>
                      <c:pt idx="78">
                        <c:v>22.771276022944246</c:v>
                      </c:pt>
                      <c:pt idx="79">
                        <c:v>23.370230830389449</c:v>
                      </c:pt>
                      <c:pt idx="80">
                        <c:v>23.974545773323683</c:v>
                      </c:pt>
                      <c:pt idx="81">
                        <c:v>24.584135384443602</c:v>
                      </c:pt>
                      <c:pt idx="82">
                        <c:v>25.198915612090662</c:v>
                      </c:pt>
                      <c:pt idx="83">
                        <c:v>25.81880380624618</c:v>
                      </c:pt>
                      <c:pt idx="84">
                        <c:v>26.4437187036701</c:v>
                      </c:pt>
                      <c:pt idx="85">
                        <c:v>27.073580412291943</c:v>
                      </c:pt>
                      <c:pt idx="86">
                        <c:v>27.708310394953344</c:v>
                      </c:pt>
                      <c:pt idx="87">
                        <c:v>28.347831452591883</c:v>
                      </c:pt>
                      <c:pt idx="88">
                        <c:v>28.992067706949136</c:v>
                      </c:pt>
                      <c:pt idx="89">
                        <c:v>29.640944582877459</c:v>
                      </c:pt>
                      <c:pt idx="90">
                        <c:v>30.29438879031386</c:v>
                      </c:pt>
                      <c:pt idx="91">
                        <c:v>30.952328305983126</c:v>
                      </c:pt>
                      <c:pt idx="92">
                        <c:v>31.614692354886405</c:v>
                      </c:pt>
                      <c:pt idx="93">
                        <c:v>32.28141139162669</c:v>
                      </c:pt>
                      <c:pt idx="94">
                        <c:v>32.952417081617533</c:v>
                      </c:pt>
                      <c:pt idx="95">
                        <c:v>33.627642282217238</c:v>
                      </c:pt>
                      <c:pt idx="96">
                        <c:v>34.307021023826422</c:v>
                      </c:pt>
                      <c:pt idx="97">
                        <c:v>34.990488490983694</c:v>
                      </c:pt>
                      <c:pt idx="98">
                        <c:v>35.677981003490451</c:v>
                      </c:pt>
                      <c:pt idx="99">
                        <c:v>36.369435997592596</c:v>
                      </c:pt>
                      <c:pt idx="100">
                        <c:v>37.06479200724484</c:v>
                      </c:pt>
                      <c:pt idx="101">
                        <c:v>37.763988645479678</c:v>
                      </c:pt>
                      <c:pt idx="102">
                        <c:v>38.466966585901744</c:v>
                      </c:pt>
                      <c:pt idx="103">
                        <c:v>39.173667544325298</c:v>
                      </c:pt>
                      <c:pt idx="104">
                        <c:v>39.884034260571134</c:v>
                      </c:pt>
                      <c:pt idx="105">
                        <c:v>40.598010480436976</c:v>
                      </c:pt>
                      <c:pt idx="106">
                        <c:v>41.315540937854152</c:v>
                      </c:pt>
                      <c:pt idx="107">
                        <c:v>42.036571337241512</c:v>
                      </c:pt>
                      <c:pt idx="108">
                        <c:v>42.761048336066288</c:v>
                      </c:pt>
                      <c:pt idx="109">
                        <c:v>43.488919527620141</c:v>
                      </c:pt>
                      <c:pt idx="110">
                        <c:v>44.220133424018009</c:v>
                      </c:pt>
                      <c:pt idx="111">
                        <c:v>44.954639439425485</c:v>
                      </c:pt>
                      <c:pt idx="112">
                        <c:v>45.692387873520083</c:v>
                      </c:pt>
                      <c:pt idx="113">
                        <c:v>46.433329895190802</c:v>
                      </c:pt>
                      <c:pt idx="114">
                        <c:v>47.177417526479331</c:v>
                      </c:pt>
                      <c:pt idx="115">
                        <c:v>47.92460362676573</c:v>
                      </c:pt>
                      <c:pt idx="116">
                        <c:v>48.674841877200556</c:v>
                      </c:pt>
                      <c:pt idx="117">
                        <c:v>49.428086765385117</c:v>
                      </c:pt>
                      <c:pt idx="118">
                        <c:v>50.184293570300575</c:v>
                      </c:pt>
                      <c:pt idx="119">
                        <c:v>50.94341834748635</c:v>
                      </c:pt>
                      <c:pt idx="120">
                        <c:v>51.705417914468022</c:v>
                      </c:pt>
                      <c:pt idx="121">
                        <c:v>52.470249836433837</c:v>
                      </c:pt>
                      <c:pt idx="122">
                        <c:v>53.237872412159433</c:v>
                      </c:pt>
                      <c:pt idx="123">
                        <c:v>54.00824466017955</c:v>
                      </c:pt>
                      <c:pt idx="124">
                        <c:v>54.781326305204942</c:v>
                      </c:pt>
                      <c:pt idx="125">
                        <c:v>55.557077764783109</c:v>
                      </c:pt>
                      <c:pt idx="126">
                        <c:v>56.3354601362011</c:v>
                      </c:pt>
                      <c:pt idx="127">
                        <c:v>57.116435183627395</c:v>
                      </c:pt>
                      <c:pt idx="128">
                        <c:v>57.899965325491451</c:v>
                      </c:pt>
                      <c:pt idx="129">
                        <c:v>58.686013622097803</c:v>
                      </c:pt>
                      <c:pt idx="130">
                        <c:v>59.474543763472226</c:v>
                      </c:pt>
                      <c:pt idx="131">
                        <c:v>60.265520057437065</c:v>
                      </c:pt>
                      <c:pt idx="132">
                        <c:v>61.058907417912927</c:v>
                      </c:pt>
                      <c:pt idx="133">
                        <c:v>61.854671353443699</c:v>
                      </c:pt>
                      <c:pt idx="134">
                        <c:v>62.652777955941708</c:v>
                      </c:pt>
                      <c:pt idx="135">
                        <c:v>63.453193889649953</c:v>
                      </c:pt>
                      <c:pt idx="136">
                        <c:v>64.25588638031806</c:v>
                      </c:pt>
                      <c:pt idx="137">
                        <c:v>65.0608232045889</c:v>
                      </c:pt>
                      <c:pt idx="138">
                        <c:v>65.86797267959227</c:v>
                      </c:pt>
                      <c:pt idx="139">
                        <c:v>66.677303652742708</c:v>
                      </c:pt>
                      <c:pt idx="140">
                        <c:v>67.488785491737573</c:v>
                      </c:pt>
                      <c:pt idx="141">
                        <c:v>68.302388074752429</c:v>
                      </c:pt>
                      <c:pt idx="142">
                        <c:v>69.118081780830352</c:v>
                      </c:pt>
                      <c:pt idx="143">
                        <c:v>69.935837480461331</c:v>
                      </c:pt>
                      <c:pt idx="144">
                        <c:v>70.755626526349147</c:v>
                      </c:pt>
                      <c:pt idx="145">
                        <c:v>71.577420744361646</c:v>
                      </c:pt>
                      <c:pt idx="146">
                        <c:v>72.401192424661502</c:v>
                      </c:pt>
                      <c:pt idx="147">
                        <c:v>73.226914313014078</c:v>
                      </c:pt>
                      <c:pt idx="148">
                        <c:v>74.054559602269052</c:v>
                      </c:pt>
                      <c:pt idx="149">
                        <c:v>74.884101924012512</c:v>
                      </c:pt>
                      <c:pt idx="150">
                        <c:v>75.715515340386247</c:v>
                      </c:pt>
                      <c:pt idx="151">
                        <c:v>76.54877433607119</c:v>
                      </c:pt>
                      <c:pt idx="152">
                        <c:v>77.383853810431972</c:v>
                      </c:pt>
                      <c:pt idx="153">
                        <c:v>78.220729069818816</c:v>
                      </c:pt>
                      <c:pt idx="154">
                        <c:v>79.0593758200244</c:v>
                      </c:pt>
                      <c:pt idx="155">
                        <c:v>79.899770158892281</c:v>
                      </c:pt>
                      <c:pt idx="156">
                        <c:v>80.74188856907395</c:v>
                      </c:pt>
                      <c:pt idx="157">
                        <c:v>81.585707910931603</c:v>
                      </c:pt>
                      <c:pt idx="158">
                        <c:v>82.431205415583463</c:v>
                      </c:pt>
                      <c:pt idx="159">
                        <c:v>83.278358678089091</c:v>
                      </c:pt>
                      <c:pt idx="160">
                        <c:v>84.127145650771723</c:v>
                      </c:pt>
                      <c:pt idx="161">
                        <c:v>84.97754463667485</c:v>
                      </c:pt>
                      <c:pt idx="162">
                        <c:v>85.829534283150124</c:v>
                      </c:pt>
                      <c:pt idx="163">
                        <c:v>86.683093575574304</c:v>
                      </c:pt>
                      <c:pt idx="164">
                        <c:v>87.538201831192112</c:v>
                      </c:pt>
                      <c:pt idx="165">
                        <c:v>88.394838693082932</c:v>
                      </c:pt>
                      <c:pt idx="166">
                        <c:v>89.252984124248044</c:v>
                      </c:pt>
                      <c:pt idx="167">
                        <c:v>90.112618401816803</c:v>
                      </c:pt>
                      <c:pt idx="168">
                        <c:v>90.97372211136863</c:v>
                      </c:pt>
                      <c:pt idx="169">
                        <c:v>91.836276141368501</c:v>
                      </c:pt>
                      <c:pt idx="170">
                        <c:v>92.700261677713868</c:v>
                      </c:pt>
                      <c:pt idx="171">
                        <c:v>93.56566019839029</c:v>
                      </c:pt>
                      <c:pt idx="172">
                        <c:v>94.432453468233888</c:v>
                      </c:pt>
                      <c:pt idx="173">
                        <c:v>95.300623533797904</c:v>
                      </c:pt>
                      <c:pt idx="174">
                        <c:v>96.170152718321788</c:v>
                      </c:pt>
                      <c:pt idx="175">
                        <c:v>97.041023616799976</c:v>
                      </c:pt>
                      <c:pt idx="176">
                        <c:v>97.913219091148974</c:v>
                      </c:pt>
                      <c:pt idx="177">
                        <c:v>98.786722265469876</c:v>
                      </c:pt>
                      <c:pt idx="178">
                        <c:v>99.661516521405161</c:v>
                      </c:pt>
                      <c:pt idx="179">
                        <c:v>100.53758549358716</c:v>
                      </c:pt>
                      <c:pt idx="180">
                        <c:v>101.41491306517626</c:v>
                      </c:pt>
                      <c:pt idx="181">
                        <c:v>102.29348336348758</c:v>
                      </c:pt>
                      <c:pt idx="182">
                        <c:v>103.17328075570342</c:v>
                      </c:pt>
                      <c:pt idx="183">
                        <c:v>104.05428984467028</c:v>
                      </c:pt>
                      <c:pt idx="184">
                        <c:v>104.93649546477846</c:v>
                      </c:pt>
                      <c:pt idx="185">
                        <c:v>105.81988267792219</c:v>
                      </c:pt>
                      <c:pt idx="186">
                        <c:v>106.70443676953936</c:v>
                      </c:pt>
                      <c:pt idx="187">
                        <c:v>107.59014324472824</c:v>
                      </c:pt>
                      <c:pt idx="188">
                        <c:v>108.47698782444024</c:v>
                      </c:pt>
                      <c:pt idx="189">
                        <c:v>109.36495644174698</c:v>
                      </c:pt>
                      <c:pt idx="190">
                        <c:v>110.25403523817957</c:v>
                      </c:pt>
                      <c:pt idx="191">
                        <c:v>111.14421056013963</c:v>
                      </c:pt>
                      <c:pt idx="192">
                        <c:v>112.03546895537934</c:v>
                      </c:pt>
                      <c:pt idx="193">
                        <c:v>112.92779716954999</c:v>
                      </c:pt>
                      <c:pt idx="194">
                        <c:v>113.82118214281704</c:v>
                      </c:pt>
                      <c:pt idx="195">
                        <c:v>114.71561100654064</c:v>
                      </c:pt>
                      <c:pt idx="196">
                        <c:v>115.61107108002014</c:v>
                      </c:pt>
                      <c:pt idx="197">
                        <c:v>116.50754986730065</c:v>
                      </c:pt>
                      <c:pt idx="198">
                        <c:v>117.40503505404175</c:v>
                      </c:pt>
                      <c:pt idx="199">
                        <c:v>118.30351450444539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858-4C83-AEE4-DA1BF952029C}"/>
                  </c:ext>
                </c:extLst>
              </c15:ser>
            </c15:filteredScatterSeries>
          </c:ext>
        </c:extLst>
      </c:scatterChart>
      <c:valAx>
        <c:axId val="170709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5190816"/>
        <c:crosses val="autoZero"/>
        <c:crossBetween val="midCat"/>
      </c:valAx>
      <c:valAx>
        <c:axId val="1965190816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2</xdr:row>
      <xdr:rowOff>83820</xdr:rowOff>
    </xdr:from>
    <xdr:to>
      <xdr:col>14</xdr:col>
      <xdr:colOff>685800</xdr:colOff>
      <xdr:row>17</xdr:row>
      <xdr:rowOff>68580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9D4039-A2EC-47C7-B9EE-CBE8137A6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</xdr:colOff>
      <xdr:row>18</xdr:row>
      <xdr:rowOff>15240</xdr:rowOff>
    </xdr:from>
    <xdr:to>
      <xdr:col>14</xdr:col>
      <xdr:colOff>670560</xdr:colOff>
      <xdr:row>33</xdr:row>
      <xdr:rowOff>15240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22544A9-CFA9-4C32-9FFD-1BE36AF97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60960</xdr:colOff>
      <xdr:row>34</xdr:row>
      <xdr:rowOff>22860</xdr:rowOff>
    </xdr:from>
    <xdr:to>
      <xdr:col>14</xdr:col>
      <xdr:colOff>670560</xdr:colOff>
      <xdr:row>49</xdr:row>
      <xdr:rowOff>22860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21A4218-C4E6-44EC-A410-16114738E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91440</xdr:colOff>
      <xdr:row>49</xdr:row>
      <xdr:rowOff>175260</xdr:rowOff>
    </xdr:from>
    <xdr:to>
      <xdr:col>14</xdr:col>
      <xdr:colOff>701040</xdr:colOff>
      <xdr:row>64</xdr:row>
      <xdr:rowOff>175260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A15D0F4-D2B7-4E3D-8C83-BA2BF95C3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BACE1-C21E-4089-99DC-F8C1DA54E62F}" name="Tableau1" displayName="Tableau1" ref="A4:I204" totalsRowShown="0" headerRowDxfId="6">
  <autoFilter ref="A4:I204" xr:uid="{4D3E30EF-625C-47E7-A63E-E775352C9B5C}"/>
  <tableColumns count="9">
    <tableColumn id="1" xr3:uid="{6938972F-6A39-4DED-98F2-C3F7ED0BDC6C}" name="Prix Action"/>
    <tableColumn id="2" xr3:uid="{8CA5D46C-1321-4FCA-9300-4650D01B70BE}" name="D1" dataDxfId="5">
      <calculatedColumnFormula xml:space="preserve"> (LN($A5/$C$2) + ($A$2 + ($E$2^2)/2) * $B$2) / ($E$2 * SQRT($B$2))</calculatedColumnFormula>
    </tableColumn>
    <tableColumn id="3" xr3:uid="{C76D184A-77B4-4E01-BD47-6C98B66AF2FA}" name="D2" dataDxfId="4">
      <calculatedColumnFormula>Tableau1[[#This Row],[D1]]-$E$2*SQRT($B$2)</calculatedColumnFormula>
    </tableColumn>
    <tableColumn id="4" xr3:uid="{953C2994-AF47-45CB-A192-556FC8EF7140}" name="Normal(D1)" dataDxfId="3">
      <calculatedColumnFormula>NORMSDIST(Tableau1[[#This Row],[D1]])</calculatedColumnFormula>
    </tableColumn>
    <tableColumn id="5" xr3:uid="{E8AC6FEB-6836-4291-9F10-771325A12493}" name="Normal(D2)" dataDxfId="2">
      <calculatedColumnFormula>NORMSDIST(Tableau1[[#This Row],[D2]])</calculatedColumnFormula>
    </tableColumn>
    <tableColumn id="6" xr3:uid="{E6D8F3F9-4956-4902-A9CB-6B8724F97433}" name="Prix option" dataCellStyle="Monétaire">
      <calculatedColumnFormula>Tableau1[[#This Row],[Prix Action]]*Tableau1[[#This Row],[Normal(D1)]]-$C$2*EXP(-$A$2*$B$2)*Tableau1[[#This Row],[Normal(D2)]]</calculatedColumnFormula>
    </tableColumn>
    <tableColumn id="12" xr3:uid="{8B3BF52E-8208-4991-82A2-165E3386392C}" name="PNL" dataCellStyle="Monétaire">
      <calculatedColumnFormula xml:space="preserve"> Tableau1[[#This Row],[Prix option]] - 0.5 * (-50) * (Tableau1[[#This Row],[Prix Action]] - $C$2)</calculatedColumnFormula>
    </tableColumn>
    <tableColumn id="7" xr3:uid="{CC783890-E4CB-44B0-81EF-852954F5930E}" name="Portefeuille" dataDxfId="1">
      <calculatedColumnFormula>Tableau1[[#This Row],[Prix option]]-Tableau1[[#This Row],[D1]]*Tableau1[[#This Row],[Prix Action]]</calculatedColumnFormula>
    </tableColumn>
    <tableColumn id="8" xr3:uid="{EF5F3C04-8489-494C-B666-8DA908B27D31}" name="Delta Portefeuille" dataDxfId="0" dataCellStyle="Pourcentage">
      <calculatedColumnFormula>$F6-$F5-(H6*$A6-$H5*$A5)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D1D762-7872-43A0-B448-08AB39A22EA9}" name="Tableau2" displayName="Tableau2" ref="A1:F2" totalsRowShown="0" headerRowDxfId="8" tableBorderDxfId="7">
  <autoFilter ref="A1:F2" xr:uid="{3B64FE35-D6A1-488A-8261-3C73E06F73D2}"/>
  <tableColumns count="6">
    <tableColumn id="1" xr3:uid="{5562BA9E-5B05-4CD3-8877-908205566D54}" name="r"/>
    <tableColumn id="2" xr3:uid="{BB4473E4-DD5D-4526-9754-BE58D7D77F12}" name="T"/>
    <tableColumn id="3" xr3:uid="{6303482C-5DD5-4CF6-A743-A8829BD052D0}" name="K"/>
    <tableColumn id="4" xr3:uid="{0EB7939E-3D85-43FB-B1C9-4CEA70054A49}" name="S"/>
    <tableColumn id="5" xr3:uid="{71161209-115E-4961-AD95-AD25733F5E0D}" name="σ"/>
    <tableColumn id="6" xr3:uid="{3E82C9A6-D97B-4CF1-8070-A6762A5D616F}" name="Δ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B63D-6D08-4BC5-9519-CD436837A7FD}">
  <dimension ref="A1:I204"/>
  <sheetViews>
    <sheetView tabSelected="1" topLeftCell="D37" workbookViewId="0">
      <selection activeCell="Q12" sqref="Q12"/>
    </sheetView>
  </sheetViews>
  <sheetFormatPr baseColWidth="10" defaultRowHeight="14.4" x14ac:dyDescent="0.3"/>
  <cols>
    <col min="1" max="1" width="14.44140625" bestFit="1" customWidth="1"/>
    <col min="4" max="5" width="15.21875" bestFit="1" customWidth="1"/>
    <col min="6" max="6" width="14.5546875" bestFit="1" customWidth="1"/>
    <col min="7" max="7" width="12.6640625" bestFit="1" customWidth="1"/>
    <col min="8" max="8" width="16.44140625" bestFit="1" customWidth="1"/>
    <col min="9" max="9" width="22.21875" bestFit="1" customWidth="1"/>
  </cols>
  <sheetData>
    <row r="1" spans="1:9" ht="15.6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</row>
    <row r="2" spans="1:9" x14ac:dyDescent="0.3">
      <c r="A2">
        <v>0.05</v>
      </c>
      <c r="B2">
        <v>1</v>
      </c>
      <c r="C2">
        <v>100</v>
      </c>
      <c r="D2">
        <v>100</v>
      </c>
      <c r="E2">
        <v>0.9</v>
      </c>
      <c r="F2">
        <v>0.5</v>
      </c>
    </row>
    <row r="4" spans="1:9" ht="15.6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13</v>
      </c>
      <c r="G4" s="3" t="s">
        <v>6</v>
      </c>
      <c r="H4" s="3" t="s">
        <v>12</v>
      </c>
      <c r="I4" s="3" t="s">
        <v>14</v>
      </c>
    </row>
    <row r="5" spans="1:9" x14ac:dyDescent="0.3">
      <c r="A5">
        <v>1</v>
      </c>
      <c r="B5">
        <f t="shared" ref="B5:B36" si="0" xml:space="preserve"> (LN($A5/$C$2) + ($A$2 + ($E$2^2)/2) * $B$2) / ($E$2 * SQRT($B$2))</f>
        <v>-4.6113002066534339</v>
      </c>
      <c r="C5">
        <f>Tableau1[[#This Row],[D1]]-$E$2*SQRT($B$2)</f>
        <v>-5.5113002066534342</v>
      </c>
      <c r="D5">
        <f>NORMSDIST(Tableau1[[#This Row],[D1]])</f>
        <v>2.000790727508805E-6</v>
      </c>
      <c r="E5">
        <f>NORMSDIST(Tableau1[[#This Row],[D2]])</f>
        <v>1.7809629697456146E-8</v>
      </c>
      <c r="F5" s="1">
        <f>Tableau1[[#This Row],[Prix Action]]*Tableau1[[#This Row],[Normal(D1)]]-$C$2*EXP(-$A$2*$B$2)*Tableau1[[#This Row],[Normal(D2)]]</f>
        <v>3.0668634674060133E-7</v>
      </c>
      <c r="G5" s="1">
        <f xml:space="preserve"> Tableau1[[#This Row],[Prix option]] - 0.5 * (-50) * (Tableau1[[#This Row],[Prix Action]] - $C$2)</f>
        <v>-2474.9999996933138</v>
      </c>
      <c r="H5" s="8">
        <f>Tableau1[[#This Row],[Prix option]]-Tableau1[[#This Row],[D1]]*Tableau1[[#This Row],[Prix Action]]</f>
        <v>4.6113005133397804</v>
      </c>
      <c r="I5" s="9">
        <f t="shared" ref="I5:I36" si="1">$F6-$F5-(H6*$A6-$H5*$A5)</f>
        <v>-10.753267871210557</v>
      </c>
    </row>
    <row r="6" spans="1:9" x14ac:dyDescent="0.3">
      <c r="A6">
        <v>2</v>
      </c>
      <c r="B6">
        <f t="shared" si="0"/>
        <v>-3.8411366726979397</v>
      </c>
      <c r="C6">
        <f>Tableau1[[#This Row],[D1]]-$E$2*SQRT($B$2)</f>
        <v>-4.74113667269794</v>
      </c>
      <c r="D6">
        <f>NORMSDIST(Tableau1[[#This Row],[D1]])</f>
        <v>6.1232950270829228E-5</v>
      </c>
      <c r="E6">
        <f>NORMSDIST(Tableau1[[#This Row],[D2]])</f>
        <v>1.0626125065818939E-6</v>
      </c>
      <c r="F6" s="1">
        <f>Tableau1[[#This Row],[Prix Action]]*Tableau1[[#This Row],[Normal(D1)]]-$C$2*EXP(-$A$2*$B$2)*Tableau1[[#This Row],[Normal(D2)]]</f>
        <v>2.1387072231342845E-5</v>
      </c>
      <c r="G6" s="1">
        <f xml:space="preserve"> Tableau1[[#This Row],[Prix option]] - 0.5 * (-50) * (Tableau1[[#This Row],[Prix Action]] - $C$2)</f>
        <v>-2449.9999786129279</v>
      </c>
      <c r="H6" s="8">
        <f>Tableau1[[#This Row],[Prix option]]-Tableau1[[#This Row],[D1]]*Tableau1[[#This Row],[Prix Action]]</f>
        <v>7.6822947324681108</v>
      </c>
      <c r="I6" s="9">
        <f t="shared" si="1"/>
        <v>-15.151408084093214</v>
      </c>
    </row>
    <row r="7" spans="1:9" x14ac:dyDescent="0.3">
      <c r="A7">
        <v>3</v>
      </c>
      <c r="B7">
        <f t="shared" si="0"/>
        <v>-3.3906198859110908</v>
      </c>
      <c r="C7">
        <f>Tableau1[[#This Row],[D1]]-$E$2*SQRT($B$2)</f>
        <v>-4.2906198859110907</v>
      </c>
      <c r="D7">
        <f>NORMSDIST(Tableau1[[#This Row],[D1]])</f>
        <v>3.4867373535515619E-4</v>
      </c>
      <c r="E7">
        <f>NORMSDIST(Tableau1[[#This Row],[D2]])</f>
        <v>8.9087532990755954E-6</v>
      </c>
      <c r="F7" s="1">
        <f>Tableau1[[#This Row],[Prix Action]]*Tableau1[[#This Row],[Normal(D1)]]-$C$2*EXP(-$A$2*$B$2)*Tableau1[[#This Row],[Normal(D2)]]</f>
        <v>1.9859437869561693E-4</v>
      </c>
      <c r="G7" s="1">
        <f xml:space="preserve"> Tableau1[[#This Row],[Prix option]] - 0.5 * (-50) * (Tableau1[[#This Row],[Prix Action]] - $C$2)</f>
        <v>-2424.9998014056214</v>
      </c>
      <c r="H7" s="8">
        <f>Tableau1[[#This Row],[Prix option]]-Tableau1[[#This Row],[D1]]*Tableau1[[#This Row],[Prix Action]]</f>
        <v>10.172058252111967</v>
      </c>
      <c r="I7" s="9">
        <f t="shared" si="1"/>
        <v>-18.622182498162463</v>
      </c>
    </row>
    <row r="8" spans="1:9" x14ac:dyDescent="0.3">
      <c r="A8">
        <v>4</v>
      </c>
      <c r="B8">
        <f xml:space="preserve"> (LN($A8/$C$2) + ($A$2 + ($E$2^2)/2) * $B$2) / ($E$2 * SQRT($B$2))</f>
        <v>-3.070973138742445</v>
      </c>
      <c r="C8">
        <f>Tableau1[[#This Row],[D1]]-$E$2*SQRT($B$2)</f>
        <v>-3.970973138742445</v>
      </c>
      <c r="D8">
        <f>NORMSDIST(Tableau1[[#This Row],[D1]])</f>
        <v>1.0668117232792865E-3</v>
      </c>
      <c r="E8">
        <f>NORMSDIST(Tableau1[[#This Row],[D2]])</f>
        <v>3.5789825166401109E-5</v>
      </c>
      <c r="F8" s="1">
        <f>Tableau1[[#This Row],[Prix Action]]*Tableau1[[#This Row],[Normal(D1)]]-$C$2*EXP(-$A$2*$B$2)*Tableau1[[#This Row],[Normal(D2)]]</f>
        <v>8.6281341351545585E-4</v>
      </c>
      <c r="G8" s="1">
        <f xml:space="preserve"> Tableau1[[#This Row],[Prix option]] - 0.5 * (-50) * (Tableau1[[#This Row],[Prix Action]] - $C$2)</f>
        <v>-2399.9991371865863</v>
      </c>
      <c r="H8" s="8">
        <f>Tableau1[[#This Row],[Prix option]]-Tableau1[[#This Row],[D1]]*Tableau1[[#This Row],[Prix Action]]</f>
        <v>12.284755368383296</v>
      </c>
      <c r="I8" s="9">
        <f t="shared" si="1"/>
        <v>-21.447860782776985</v>
      </c>
    </row>
    <row r="9" spans="1:9" x14ac:dyDescent="0.3">
      <c r="A9">
        <v>5</v>
      </c>
      <c r="B9">
        <f t="shared" si="0"/>
        <v>-2.8230358595044343</v>
      </c>
      <c r="C9">
        <f>Tableau1[[#This Row],[D1]]-$E$2*SQRT($B$2)</f>
        <v>-3.7230358595044342</v>
      </c>
      <c r="D9">
        <f>NORMSDIST(Tableau1[[#This Row],[D1]])</f>
        <v>2.3785625235868807E-3</v>
      </c>
      <c r="E9">
        <f>NORMSDIST(Tableau1[[#This Row],[D2]])</f>
        <v>9.8420775843829201E-5</v>
      </c>
      <c r="F9" s="1">
        <f>Tableau1[[#This Row],[Prix Action]]*Tableau1[[#This Row],[Normal(D1)]]-$C$2*EXP(-$A$2*$B$2)*Tableau1[[#This Row],[Normal(D2)]]</f>
        <v>2.5307388214504609E-3</v>
      </c>
      <c r="G9" s="1">
        <f xml:space="preserve"> Tableau1[[#This Row],[Prix option]] - 0.5 * (-50) * (Tableau1[[#This Row],[Prix Action]] - $C$2)</f>
        <v>-2374.9974692611786</v>
      </c>
      <c r="H9" s="8">
        <f>Tableau1[[#This Row],[Prix option]]-Tableau1[[#This Row],[D1]]*Tableau1[[#This Row],[Prix Action]]</f>
        <v>14.117710036343622</v>
      </c>
      <c r="I9" s="9">
        <f t="shared" si="1"/>
        <v>-23.779678910967931</v>
      </c>
    </row>
    <row r="10" spans="1:9" x14ac:dyDescent="0.3">
      <c r="A10">
        <v>6</v>
      </c>
      <c r="B10">
        <f t="shared" si="0"/>
        <v>-2.6204563519555957</v>
      </c>
      <c r="C10">
        <f>Tableau1[[#This Row],[D1]]-$E$2*SQRT($B$2)</f>
        <v>-3.5204563519555956</v>
      </c>
      <c r="D10">
        <f>NORMSDIST(Tableau1[[#This Row],[D1]])</f>
        <v>4.3906085171515914E-3</v>
      </c>
      <c r="E10">
        <f>NORMSDIST(Tableau1[[#This Row],[D2]])</f>
        <v>2.1540244532524463E-4</v>
      </c>
      <c r="F10" s="1">
        <f>Tableau1[[#This Row],[Prix Action]]*Tableau1[[#This Row],[Normal(D1)]]-$C$2*EXP(-$A$2*$B$2)*Tableau1[[#This Row],[Normal(D2)]]</f>
        <v>5.8539366926316505E-3</v>
      </c>
      <c r="G10" s="1">
        <f xml:space="preserve"> Tableau1[[#This Row],[Prix option]] - 0.5 * (-50) * (Tableau1[[#This Row],[Prix Action]] - $C$2)</f>
        <v>-2349.9941460633072</v>
      </c>
      <c r="H10" s="8">
        <f>Tableau1[[#This Row],[Prix option]]-Tableau1[[#This Row],[D1]]*Tableau1[[#This Row],[Prix Action]]</f>
        <v>15.728592048426204</v>
      </c>
      <c r="I10" s="9">
        <f t="shared" si="1"/>
        <v>-25.71340207026411</v>
      </c>
    </row>
    <row r="11" spans="1:9" x14ac:dyDescent="0.3">
      <c r="A11">
        <v>7</v>
      </c>
      <c r="B11">
        <f t="shared" si="0"/>
        <v>-2.4491778188141975</v>
      </c>
      <c r="C11">
        <f>Tableau1[[#This Row],[D1]]-$E$2*SQRT($B$2)</f>
        <v>-3.3491778188141974</v>
      </c>
      <c r="D11">
        <f>NORMSDIST(Tableau1[[#This Row],[D1]])</f>
        <v>7.1591370708968633E-3</v>
      </c>
      <c r="E11">
        <f>NORMSDIST(Tableau1[[#This Row],[D2]])</f>
        <v>4.0525879594549054E-4</v>
      </c>
      <c r="F11" s="1">
        <f>Tableau1[[#This Row],[Prix Action]]*Tableau1[[#This Row],[Normal(D1)]]-$C$2*EXP(-$A$2*$B$2)*Tableau1[[#This Row],[Normal(D2)]]</f>
        <v>1.156455037216992E-2</v>
      </c>
      <c r="G11" s="1">
        <f xml:space="preserve"> Tableau1[[#This Row],[Prix option]] - 0.5 * (-50) * (Tableau1[[#This Row],[Prix Action]] - $C$2)</f>
        <v>-2324.988435449628</v>
      </c>
      <c r="H11" s="8">
        <f>Tableau1[[#This Row],[Prix option]]-Tableau1[[#This Row],[D1]]*Tableau1[[#This Row],[Prix Action]]</f>
        <v>17.155809282071552</v>
      </c>
      <c r="I11" s="9">
        <f t="shared" si="1"/>
        <v>-27.315726833502239</v>
      </c>
    </row>
    <row r="12" spans="1:9" x14ac:dyDescent="0.3">
      <c r="A12">
        <v>8</v>
      </c>
      <c r="B12">
        <f t="shared" si="0"/>
        <v>-2.3008096047869504</v>
      </c>
      <c r="C12">
        <f>Tableau1[[#This Row],[D1]]-$E$2*SQRT($B$2)</f>
        <v>-3.2008096047869503</v>
      </c>
      <c r="D12">
        <f>NORMSDIST(Tableau1[[#This Row],[D1]])</f>
        <v>1.0701197657898063E-2</v>
      </c>
      <c r="E12">
        <f>NORMSDIST(Tableau1[[#This Row],[D2]])</f>
        <v>6.8521026702687512E-4</v>
      </c>
      <c r="F12" s="1">
        <f>Tableau1[[#This Row],[Prix Action]]*Tableau1[[#This Row],[Normal(D1)]]-$C$2*EXP(-$A$2*$B$2)*Tableau1[[#This Row],[Normal(D2)]]</f>
        <v>2.043036446658901E-2</v>
      </c>
      <c r="G12" s="1">
        <f xml:space="preserve"> Tableau1[[#This Row],[Prix option]] - 0.5 * (-50) * (Tableau1[[#This Row],[Prix Action]] - $C$2)</f>
        <v>-2299.9795696355336</v>
      </c>
      <c r="H12" s="8">
        <f>Tableau1[[#This Row],[Prix option]]-Tableau1[[#This Row],[D1]]*Tableau1[[#This Row],[Prix Action]]</f>
        <v>18.426907202762191</v>
      </c>
      <c r="I12" s="9">
        <f t="shared" si="1"/>
        <v>-28.636047973682413</v>
      </c>
    </row>
    <row r="13" spans="1:9" x14ac:dyDescent="0.3">
      <c r="A13">
        <v>9</v>
      </c>
      <c r="B13">
        <f t="shared" si="0"/>
        <v>-2.1699395651687468</v>
      </c>
      <c r="C13">
        <f>Tableau1[[#This Row],[D1]]-$E$2*SQRT($B$2)</f>
        <v>-3.0699395651687467</v>
      </c>
      <c r="D13">
        <f>NORMSDIST(Tableau1[[#This Row],[D1]])</f>
        <v>1.50057122658566E-2</v>
      </c>
      <c r="E13">
        <f>NORMSDIST(Tableau1[[#This Row],[D2]])</f>
        <v>1.0705104487863147E-3</v>
      </c>
      <c r="F13" s="1">
        <f>Tableau1[[#This Row],[Prix Action]]*Tableau1[[#This Row],[Normal(D1)]]-$C$2*EXP(-$A$2*$B$2)*Tableau1[[#This Row],[Normal(D2)]]</f>
        <v>3.3221306580608678E-2</v>
      </c>
      <c r="G13" s="1">
        <f xml:space="preserve"> Tableau1[[#This Row],[Prix option]] - 0.5 * (-50) * (Tableau1[[#This Row],[Prix Action]] - $C$2)</f>
        <v>-2274.9667786934192</v>
      </c>
      <c r="H13" s="8">
        <f>Tableau1[[#This Row],[Prix option]]-Tableau1[[#This Row],[D1]]*Tableau1[[#This Row],[Prix Action]]</f>
        <v>19.562677393099328</v>
      </c>
      <c r="I13" s="9">
        <f t="shared" si="1"/>
        <v>-29.71253139106021</v>
      </c>
    </row>
    <row r="14" spans="1:9" x14ac:dyDescent="0.3">
      <c r="A14">
        <v>10</v>
      </c>
      <c r="B14">
        <f t="shared" si="0"/>
        <v>-2.0528723255489392</v>
      </c>
      <c r="C14">
        <f>Tableau1[[#This Row],[D1]]-$E$2*SQRT($B$2)</f>
        <v>-2.9528723255489391</v>
      </c>
      <c r="D14">
        <f>NORMSDIST(Tableau1[[#This Row],[D1]])</f>
        <v>2.0042480837564009E-2</v>
      </c>
      <c r="E14">
        <f>NORMSDIST(Tableau1[[#This Row],[D2]])</f>
        <v>1.5741607336894189E-3</v>
      </c>
      <c r="F14" s="1">
        <f>Tableau1[[#This Row],[Prix Action]]*Tableau1[[#This Row],[Normal(D1)]]-$C$2*EXP(-$A$2*$B$2)*Tableau1[[#This Row],[Normal(D2)]]</f>
        <v>5.0686007497739299E-2</v>
      </c>
      <c r="G14" s="1">
        <f xml:space="preserve"> Tableau1[[#This Row],[Prix option]] - 0.5 * (-50) * (Tableau1[[#This Row],[Prix Action]] - $C$2)</f>
        <v>-2249.9493139925021</v>
      </c>
      <c r="H14" s="8">
        <f>Tableau1[[#This Row],[Prix option]]-Tableau1[[#This Row],[D1]]*Tableau1[[#This Row],[Prix Action]]</f>
        <v>20.579409262987131</v>
      </c>
      <c r="I14" s="9">
        <f t="shared" si="1"/>
        <v>-30.575583359794621</v>
      </c>
    </row>
    <row r="15" spans="1:9" x14ac:dyDescent="0.3">
      <c r="A15">
        <v>11</v>
      </c>
      <c r="B15">
        <f t="shared" si="0"/>
        <v>-1.9469721257663561</v>
      </c>
      <c r="C15">
        <f>Tableau1[[#This Row],[D1]]-$E$2*SQRT($B$2)</f>
        <v>-2.8469721257663561</v>
      </c>
      <c r="D15">
        <f>NORMSDIST(Tableau1[[#This Row],[D1]])</f>
        <v>2.5769038276098839E-2</v>
      </c>
      <c r="E15">
        <f>NORMSDIST(Tableau1[[#This Row],[D2]])</f>
        <v>2.2068613437117228E-3</v>
      </c>
      <c r="F15" s="1">
        <f>Tableau1[[#This Row],[Prix Action]]*Tableau1[[#This Row],[Normal(D1)]]-$C$2*EXP(-$A$2*$B$2)*Tableau1[[#This Row],[Normal(D2)]]</f>
        <v>7.3536276443909754E-2</v>
      </c>
      <c r="G15" s="1">
        <f xml:space="preserve"> Tableau1[[#This Row],[Prix option]] - 0.5 * (-50) * (Tableau1[[#This Row],[Prix Action]] - $C$2)</f>
        <v>-2224.926463723556</v>
      </c>
      <c r="H15" s="8">
        <f>Tableau1[[#This Row],[Prix option]]-Tableau1[[#This Row],[D1]]*Tableau1[[#This Row],[Prix Action]]</f>
        <v>21.490229659873826</v>
      </c>
      <c r="I15" s="9">
        <f t="shared" si="1"/>
        <v>-31.249988135914517</v>
      </c>
    </row>
    <row r="16" spans="1:9" x14ac:dyDescent="0.3">
      <c r="A16">
        <v>12</v>
      </c>
      <c r="B16">
        <f t="shared" si="0"/>
        <v>-1.850292818000101</v>
      </c>
      <c r="C16">
        <f>Tableau1[[#This Row],[D1]]-$E$2*SQRT($B$2)</f>
        <v>-2.7502928180001009</v>
      </c>
      <c r="D16">
        <f>NORMSDIST(Tableau1[[#This Row],[D1]])</f>
        <v>3.2135678618090413E-2</v>
      </c>
      <c r="E16">
        <f>NORMSDIST(Tableau1[[#This Row],[D2]])</f>
        <v>2.9771015481119567E-3</v>
      </c>
      <c r="F16" s="1">
        <f>Tableau1[[#This Row],[Prix Action]]*Tableau1[[#This Row],[Normal(D1)]]-$C$2*EXP(-$A$2*$B$2)*Tableau1[[#This Row],[Normal(D2)]]</f>
        <v>0.1024374841880128</v>
      </c>
      <c r="G16" s="1">
        <f xml:space="preserve"> Tableau1[[#This Row],[Prix option]] - 0.5 * (-50) * (Tableau1[[#This Row],[Prix Action]] - $C$2)</f>
        <v>-2199.8975625158118</v>
      </c>
      <c r="H16" s="8">
        <f>Tableau1[[#This Row],[Prix option]]-Tableau1[[#This Row],[D1]]*Tableau1[[#This Row],[Prix Action]]</f>
        <v>22.305951300189225</v>
      </c>
      <c r="I16" s="9">
        <f t="shared" si="1"/>
        <v>-31.756304991610264</v>
      </c>
    </row>
    <row r="17" spans="1:9" x14ac:dyDescent="0.3">
      <c r="A17">
        <v>13</v>
      </c>
      <c r="B17">
        <f t="shared" si="0"/>
        <v>-1.7613564761406162</v>
      </c>
      <c r="C17">
        <f>Tableau1[[#This Row],[D1]]-$E$2*SQRT($B$2)</f>
        <v>-2.6613564761406163</v>
      </c>
      <c r="D17">
        <f>NORMSDIST(Tableau1[[#This Row],[D1]])</f>
        <v>3.908904337404482E-2</v>
      </c>
      <c r="E17">
        <f>NORMSDIST(Tableau1[[#This Row],[D2]])</f>
        <v>3.8913256273178732E-3</v>
      </c>
      <c r="F17" s="1">
        <f>Tableau1[[#This Row],[Prix Action]]*Tableau1[[#This Row],[Normal(D1)]]-$C$2*EXP(-$A$2*$B$2)*Tableau1[[#This Row],[Normal(D2)]]</f>
        <v>0.13800322016073663</v>
      </c>
      <c r="G17" s="1">
        <f xml:space="preserve"> Tableau1[[#This Row],[Prix option]] - 0.5 * (-50) * (Tableau1[[#This Row],[Prix Action]] - $C$2)</f>
        <v>-2174.861996779839</v>
      </c>
      <c r="H17" s="8">
        <f>Tableau1[[#This Row],[Prix option]]-Tableau1[[#This Row],[D1]]*Tableau1[[#This Row],[Prix Action]]</f>
        <v>23.035637409988748</v>
      </c>
      <c r="I17" s="9">
        <f t="shared" si="1"/>
        <v>-32.111825347036152</v>
      </c>
    </row>
    <row r="18" spans="1:9" x14ac:dyDescent="0.3">
      <c r="A18">
        <v>14</v>
      </c>
      <c r="B18">
        <f t="shared" si="0"/>
        <v>-1.6790142848587029</v>
      </c>
      <c r="C18">
        <f>Tableau1[[#This Row],[D1]]-$E$2*SQRT($B$2)</f>
        <v>-2.5790142848587028</v>
      </c>
      <c r="D18">
        <f>NORMSDIST(Tableau1[[#This Row],[D1]])</f>
        <v>4.6574629897024843E-2</v>
      </c>
      <c r="E18">
        <f>NORMSDIST(Tableau1[[#This Row],[D2]])</f>
        <v>4.9541344633678994E-3</v>
      </c>
      <c r="F18" s="1">
        <f>Tableau1[[#This Row],[Prix Action]]*Tableau1[[#This Row],[Normal(D1)]]-$C$2*EXP(-$A$2*$B$2)*Tableau1[[#This Row],[Normal(D2)]]</f>
        <v>0.18079297110948778</v>
      </c>
      <c r="G18" s="1">
        <f xml:space="preserve"> Tableau1[[#This Row],[Prix option]] - 0.5 * (-50) * (Tableau1[[#This Row],[Prix Action]] - $C$2)</f>
        <v>-2149.8192070288906</v>
      </c>
      <c r="H18" s="8">
        <f>Tableau1[[#This Row],[Prix option]]-Tableau1[[#This Row],[D1]]*Tableau1[[#This Row],[Prix Action]]</f>
        <v>23.686992959131327</v>
      </c>
      <c r="I18" s="9">
        <f t="shared" si="1"/>
        <v>-32.331254225995622</v>
      </c>
    </row>
    <row r="19" spans="1:9" x14ac:dyDescent="0.3">
      <c r="A19">
        <v>15</v>
      </c>
      <c r="B19">
        <f t="shared" si="0"/>
        <v>-1.6023555387620902</v>
      </c>
      <c r="C19">
        <f>Tableau1[[#This Row],[D1]]-$E$2*SQRT($B$2)</f>
        <v>-2.5023555387620902</v>
      </c>
      <c r="D19">
        <f>NORMSDIST(Tableau1[[#This Row],[D1]])</f>
        <v>5.4538505357899295E-2</v>
      </c>
      <c r="E19">
        <f>NORMSDIST(Tableau1[[#This Row],[D2]])</f>
        <v>6.1684981053531981E-3</v>
      </c>
      <c r="F19" s="1">
        <f>Tableau1[[#This Row],[Prix Action]]*Tableau1[[#This Row],[Normal(D1)]]-$C$2*EXP(-$A$2*$B$2)*Tableau1[[#This Row],[Normal(D2)]]</f>
        <v>0.23131189008960262</v>
      </c>
      <c r="G19" s="1">
        <f xml:space="preserve"> Tableau1[[#This Row],[Prix option]] - 0.5 * (-50) * (Tableau1[[#This Row],[Prix Action]] - $C$2)</f>
        <v>-2124.7686881099103</v>
      </c>
      <c r="H19" s="8">
        <f>Tableau1[[#This Row],[Prix option]]-Tableau1[[#This Row],[D1]]*Tableau1[[#This Row],[Prix Action]]</f>
        <v>24.266644971520957</v>
      </c>
      <c r="I19" s="9">
        <f t="shared" si="1"/>
        <v>-32.42721108467159</v>
      </c>
    </row>
    <row r="20" spans="1:9" x14ac:dyDescent="0.3">
      <c r="A20">
        <v>16</v>
      </c>
      <c r="B20">
        <f t="shared" si="0"/>
        <v>-1.5306460708314558</v>
      </c>
      <c r="C20">
        <f>Tableau1[[#This Row],[D1]]-$E$2*SQRT($B$2)</f>
        <v>-2.4306460708314557</v>
      </c>
      <c r="D20">
        <f>NORMSDIST(Tableau1[[#This Row],[D1]])</f>
        <v>6.2928444447721138E-2</v>
      </c>
      <c r="E20">
        <f>NORMSDIST(Tableau1[[#This Row],[D2]])</f>
        <v>7.5359646901540503E-3</v>
      </c>
      <c r="F20" s="1">
        <f>Tableau1[[#This Row],[Prix Action]]*Tableau1[[#This Row],[Normal(D1)]]-$C$2*EXP(-$A$2*$B$2)*Tableau1[[#This Row],[Normal(D2)]]</f>
        <v>0.29001197563624426</v>
      </c>
      <c r="G20" s="1">
        <f xml:space="preserve"> Tableau1[[#This Row],[Prix option]] - 0.5 * (-50) * (Tableau1[[#This Row],[Prix Action]] - $C$2)</f>
        <v>-2099.7099880243636</v>
      </c>
      <c r="H20" s="8">
        <f>Tableau1[[#This Row],[Prix option]]-Tableau1[[#This Row],[D1]]*Tableau1[[#This Row],[Prix Action]]</f>
        <v>24.780349108939536</v>
      </c>
      <c r="I20" s="9">
        <f t="shared" si="1"/>
        <v>-32.41060775347907</v>
      </c>
    </row>
    <row r="21" spans="1:9" x14ac:dyDescent="0.3">
      <c r="A21">
        <v>17</v>
      </c>
      <c r="B21">
        <f t="shared" si="0"/>
        <v>-1.4632853799243057</v>
      </c>
      <c r="C21">
        <f>Tableau1[[#This Row],[D1]]-$E$2*SQRT($B$2)</f>
        <v>-2.3632853799243057</v>
      </c>
      <c r="D21">
        <f>NORMSDIST(Tableau1[[#This Row],[D1]])</f>
        <v>7.1694653268726635E-2</v>
      </c>
      <c r="E21">
        <f>NORMSDIST(Tableau1[[#This Row],[D2]])</f>
        <v>9.0568575067850789E-3</v>
      </c>
      <c r="F21" s="1">
        <f>Tableau1[[#This Row],[Prix Action]]*Tableau1[[#This Row],[Normal(D1)]]-$C$2*EXP(-$A$2*$B$2)*Tableau1[[#This Row],[Normal(D2)]]</f>
        <v>0.35729417017193854</v>
      </c>
      <c r="G21" s="1">
        <f xml:space="preserve"> Tableau1[[#This Row],[Prix option]] - 0.5 * (-50) * (Tableau1[[#This Row],[Prix Action]] - $C$2)</f>
        <v>-2074.6427058298282</v>
      </c>
      <c r="H21" s="8">
        <f>Tableau1[[#This Row],[Prix option]]-Tableau1[[#This Row],[D1]]*Tableau1[[#This Row],[Prix Action]]</f>
        <v>25.233145628885136</v>
      </c>
      <c r="I21" s="9">
        <f t="shared" si="1"/>
        <v>-32.29094004486295</v>
      </c>
    </row>
    <row r="22" spans="1:9" x14ac:dyDescent="0.3">
      <c r="A22">
        <v>18</v>
      </c>
      <c r="B22">
        <f t="shared" si="0"/>
        <v>-1.3997760312132517</v>
      </c>
      <c r="C22">
        <f>Tableau1[[#This Row],[D1]]-$E$2*SQRT($B$2)</f>
        <v>-2.2997760312132516</v>
      </c>
      <c r="D22">
        <f>NORMSDIST(Tableau1[[#This Row],[D1]])</f>
        <v>8.0790198770303731E-2</v>
      </c>
      <c r="E22">
        <f>NORMSDIST(Tableau1[[#This Row],[D2]])</f>
        <v>1.0730456028261094E-2</v>
      </c>
      <c r="F22" s="1">
        <f>Tableau1[[#This Row],[Prix Action]]*Tableau1[[#This Row],[Normal(D1)]]-$C$2*EXP(-$A$2*$B$2)*Tableau1[[#This Row],[Normal(D2)]]</f>
        <v>0.43351102662616525</v>
      </c>
      <c r="G22" s="1">
        <f xml:space="preserve"> Tableau1[[#This Row],[Prix option]] - 0.5 * (-50) * (Tableau1[[#This Row],[Prix Action]] - $C$2)</f>
        <v>-2049.5664889733739</v>
      </c>
      <c r="H22" s="8">
        <f>Tableau1[[#This Row],[Prix option]]-Tableau1[[#This Row],[D1]]*Tableau1[[#This Row],[Prix Action]]</f>
        <v>25.629479588464694</v>
      </c>
      <c r="I22" s="9">
        <f t="shared" si="1"/>
        <v>-32.076517006982478</v>
      </c>
    </row>
    <row r="23" spans="1:9" x14ac:dyDescent="0.3">
      <c r="A23">
        <v>19</v>
      </c>
      <c r="B23">
        <f t="shared" si="0"/>
        <v>-1.3397013409129452</v>
      </c>
      <c r="C23">
        <f>Tableau1[[#This Row],[D1]]-$E$2*SQRT($B$2)</f>
        <v>-2.2397013409129451</v>
      </c>
      <c r="D23">
        <f>NORMSDIST(Tableau1[[#This Row],[D1]])</f>
        <v>9.0171230724057194E-2</v>
      </c>
      <c r="E23">
        <f>NORMSDIST(Tableau1[[#This Row],[D2]])</f>
        <v>1.255515923263875E-2</v>
      </c>
      <c r="F23" s="1">
        <f>Tableau1[[#This Row],[Prix Action]]*Tableau1[[#This Row],[Normal(D1)]]-$C$2*EXP(-$A$2*$B$2)*Tableau1[[#This Row],[Normal(D2)]]</f>
        <v>0.51896969461930809</v>
      </c>
      <c r="G23" s="1">
        <f xml:space="preserve"> Tableau1[[#This Row],[Prix option]] - 0.5 * (-50) * (Tableau1[[#This Row],[Prix Action]] - $C$2)</f>
        <v>-2024.4810303053807</v>
      </c>
      <c r="H23" s="8">
        <f>Tableau1[[#This Row],[Prix option]]-Tableau1[[#This Row],[D1]]*Tableau1[[#This Row],[Prix Action]]</f>
        <v>25.973295171965269</v>
      </c>
      <c r="I23" s="9">
        <f t="shared" si="1"/>
        <v>-31.774644052491926</v>
      </c>
    </row>
    <row r="24" spans="1:9" x14ac:dyDescent="0.3">
      <c r="A24">
        <v>20</v>
      </c>
      <c r="B24">
        <f t="shared" si="0"/>
        <v>-1.2827087915934448</v>
      </c>
      <c r="C24">
        <f>Tableau1[[#This Row],[D1]]-$E$2*SQRT($B$2)</f>
        <v>-2.1827087915934449</v>
      </c>
      <c r="D24">
        <f>NORMSDIST(Tableau1[[#This Row],[D1]])</f>
        <v>9.9797059326328152E-2</v>
      </c>
      <c r="E24">
        <f>NORMSDIST(Tableau1[[#This Row],[D2]])</f>
        <v>1.4528631042512676E-2</v>
      </c>
      <c r="F24" s="1">
        <f>Tableau1[[#This Row],[Prix Action]]*Tableau1[[#This Row],[Normal(D1)]]-$C$2*EXP(-$A$2*$B$2)*Tableau1[[#This Row],[Normal(D2)]]</f>
        <v>0.61393505199130893</v>
      </c>
      <c r="G24" s="1">
        <f xml:space="preserve"> Tableau1[[#This Row],[Prix option]] - 0.5 * (-50) * (Tableau1[[#This Row],[Prix Action]] - $C$2)</f>
        <v>-1999.3860649480087</v>
      </c>
      <c r="H24" s="8">
        <f>Tableau1[[#This Row],[Prix option]]-Tableau1[[#This Row],[D1]]*Tableau1[[#This Row],[Prix Action]]</f>
        <v>26.268110883860203</v>
      </c>
      <c r="I24" s="9">
        <f t="shared" si="1"/>
        <v>-31.391771251114722</v>
      </c>
    </row>
    <row r="25" spans="1:9" x14ac:dyDescent="0.3">
      <c r="A25">
        <v>21</v>
      </c>
      <c r="B25">
        <f t="shared" si="0"/>
        <v>-1.2284974980718537</v>
      </c>
      <c r="C25">
        <f>Tableau1[[#This Row],[D1]]-$E$2*SQRT($B$2)</f>
        <v>-2.1284974980718538</v>
      </c>
      <c r="D25">
        <f>NORMSDIST(Tableau1[[#This Row],[D1]])</f>
        <v>0.10963013400874744</v>
      </c>
      <c r="E25">
        <f>NORMSDIST(Tableau1[[#This Row],[D2]])</f>
        <v>1.6647928586554256E-2</v>
      </c>
      <c r="F25" s="1">
        <f>Tableau1[[#This Row],[Prix Action]]*Tableau1[[#This Row],[Normal(D1)]]-$C$2*EXP(-$A$2*$B$2)*Tableau1[[#This Row],[Normal(D2)]]</f>
        <v>0.718632861331997</v>
      </c>
      <c r="G25" s="1">
        <f xml:space="preserve"> Tableau1[[#This Row],[Prix option]] - 0.5 * (-50) * (Tableau1[[#This Row],[Prix Action]] - $C$2)</f>
        <v>-1974.281367138668</v>
      </c>
      <c r="H25" s="8">
        <f>Tableau1[[#This Row],[Prix option]]-Tableau1[[#This Row],[D1]]*Tableau1[[#This Row],[Prix Action]]</f>
        <v>26.517080320840925</v>
      </c>
      <c r="I25" s="9">
        <f t="shared" si="1"/>
        <v>-30.933614830784521</v>
      </c>
    </row>
    <row r="26" spans="1:9" x14ac:dyDescent="0.3">
      <c r="A26">
        <v>22</v>
      </c>
      <c r="B26">
        <f t="shared" si="0"/>
        <v>-1.1768085918108615</v>
      </c>
      <c r="C26">
        <f>Tableau1[[#This Row],[D1]]-$E$2*SQRT($B$2)</f>
        <v>-2.0768085918108614</v>
      </c>
      <c r="D26">
        <f>NORMSDIST(Tableau1[[#This Row],[D1]])</f>
        <v>0.11963595627247514</v>
      </c>
      <c r="E26">
        <f>NORMSDIST(Tableau1[[#This Row],[D2]])</f>
        <v>1.8909614459281413E-2</v>
      </c>
      <c r="F26" s="1">
        <f>Tableau1[[#This Row],[Prix Action]]*Tableau1[[#This Row],[Normal(D1)]]-$C$2*EXP(-$A$2*$B$2)*Tableau1[[#This Row],[Normal(D2)]]</f>
        <v>0.8332528700311892</v>
      </c>
      <c r="G26" s="1">
        <f xml:space="preserve"> Tableau1[[#This Row],[Prix option]] - 0.5 * (-50) * (Tableau1[[#This Row],[Prix Action]] - $C$2)</f>
        <v>-1949.1667471299688</v>
      </c>
      <c r="H26" s="8">
        <f>Tableau1[[#This Row],[Prix option]]-Tableau1[[#This Row],[D1]]*Tableau1[[#This Row],[Prix Action]]</f>
        <v>26.723041889870142</v>
      </c>
      <c r="I26" s="9">
        <f t="shared" si="1"/>
        <v>-30.405257745084157</v>
      </c>
    </row>
    <row r="27" spans="1:9" x14ac:dyDescent="0.3">
      <c r="A27">
        <v>23</v>
      </c>
      <c r="B27">
        <f t="shared" si="0"/>
        <v>-1.1274177445099351</v>
      </c>
      <c r="C27">
        <f>Tableau1[[#This Row],[D1]]-$E$2*SQRT($B$2)</f>
        <v>-2.0274177445099353</v>
      </c>
      <c r="D27">
        <f>NORMSDIST(Tableau1[[#This Row],[D1]])</f>
        <v>0.12978295007545304</v>
      </c>
      <c r="E27">
        <f>NORMSDIST(Tableau1[[#This Row],[D2]])</f>
        <v>2.1309854376157903E-2</v>
      </c>
      <c r="F27" s="1">
        <f>Tableau1[[#This Row],[Prix Action]]*Tableau1[[#This Row],[Normal(D1)]]-$C$2*EXP(-$A$2*$B$2)*Tableau1[[#This Row],[Normal(D2)]]</f>
        <v>0.9579518002927494</v>
      </c>
      <c r="G27" s="1">
        <f xml:space="preserve"> Tableau1[[#This Row],[Prix option]] - 0.5 * (-50) * (Tableau1[[#This Row],[Prix Action]] - $C$2)</f>
        <v>-1924.0420481997073</v>
      </c>
      <c r="H27" s="8">
        <f>Tableau1[[#This Row],[Prix option]]-Tableau1[[#This Row],[D1]]*Tableau1[[#This Row],[Prix Action]]</f>
        <v>26.888559924021258</v>
      </c>
      <c r="I27" s="9">
        <f t="shared" si="1"/>
        <v>-29.811233654744399</v>
      </c>
    </row>
    <row r="28" spans="1:9" x14ac:dyDescent="0.3">
      <c r="A28">
        <v>24</v>
      </c>
      <c r="B28">
        <f t="shared" si="0"/>
        <v>-1.0801292840446064</v>
      </c>
      <c r="C28">
        <f>Tableau1[[#This Row],[D1]]-$E$2*SQRT($B$2)</f>
        <v>-1.9801292840446063</v>
      </c>
      <c r="D28">
        <f>NORMSDIST(Tableau1[[#This Row],[D1]])</f>
        <v>0.14004230655350758</v>
      </c>
      <c r="E28">
        <f>NORMSDIST(Tableau1[[#This Row],[D2]])</f>
        <v>2.3844501687300231E-2</v>
      </c>
      <c r="F28" s="1">
        <f>Tableau1[[#This Row],[Prix Action]]*Tableau1[[#This Row],[Normal(D1)]]-$C$2*EXP(-$A$2*$B$2)*Tableau1[[#This Row],[Normal(D2)]]</f>
        <v>1.0928561955324914</v>
      </c>
      <c r="G28" s="1">
        <f xml:space="preserve"> Tableau1[[#This Row],[Prix option]] - 0.5 * (-50) * (Tableau1[[#This Row],[Prix Action]] - $C$2)</f>
        <v>-1898.9071438044675</v>
      </c>
      <c r="H28" s="8">
        <f>Tableau1[[#This Row],[Prix option]]-Tableau1[[#This Row],[D1]]*Tableau1[[#This Row],[Prix Action]]</f>
        <v>27.015959012603044</v>
      </c>
      <c r="I28" s="9">
        <f t="shared" si="1"/>
        <v>-29.155597605916242</v>
      </c>
    </row>
    <row r="29" spans="1:9" x14ac:dyDescent="0.3">
      <c r="A29">
        <v>25</v>
      </c>
      <c r="B29">
        <f t="shared" si="0"/>
        <v>-1.034771512355434</v>
      </c>
      <c r="C29">
        <f>Tableau1[[#This Row],[D1]]-$E$2*SQRT($B$2)</f>
        <v>-1.9347715123554341</v>
      </c>
      <c r="D29">
        <f>NORMSDIST(Tableau1[[#This Row],[D1]])</f>
        <v>0.15038781495496362</v>
      </c>
      <c r="E29">
        <f>NORMSDIST(Tableau1[[#This Row],[D2]])</f>
        <v>2.6509170186971995E-2</v>
      </c>
      <c r="F29" s="1">
        <f>Tableau1[[#This Row],[Prix Action]]*Tableau1[[#This Row],[Normal(D1)]]-$C$2*EXP(-$A$2*$B$2)*Tableau1[[#This Row],[Normal(D2)]]</f>
        <v>1.2380651037796047</v>
      </c>
      <c r="G29" s="1">
        <f xml:space="preserve"> Tableau1[[#This Row],[Prix option]] - 0.5 * (-50) * (Tableau1[[#This Row],[Prix Action]] - $C$2)</f>
        <v>-1873.7619348962203</v>
      </c>
      <c r="H29" s="8">
        <f>Tableau1[[#This Row],[Prix option]]-Tableau1[[#This Row],[D1]]*Tableau1[[#This Row],[Prix Action]]</f>
        <v>27.107352912665455</v>
      </c>
      <c r="I29" s="9">
        <f t="shared" si="1"/>
        <v>-28.441985921965333</v>
      </c>
    </row>
    <row r="30" spans="1:9" x14ac:dyDescent="0.3">
      <c r="A30">
        <v>26</v>
      </c>
      <c r="B30">
        <f t="shared" si="0"/>
        <v>-0.99119294218512122</v>
      </c>
      <c r="C30">
        <f>Tableau1[[#This Row],[D1]]-$E$2*SQRT($B$2)</f>
        <v>-1.8911929421851212</v>
      </c>
      <c r="D30">
        <f>NORMSDIST(Tableau1[[#This Row],[D1]])</f>
        <v>0.16079568811126446</v>
      </c>
      <c r="E30">
        <f>NORMSDIST(Tableau1[[#This Row],[D2]])</f>
        <v>2.9299296577674109E-2</v>
      </c>
      <c r="F30" s="1">
        <f>Tableau1[[#This Row],[Prix Action]]*Tableau1[[#This Row],[Normal(D1)]]-$C$2*EXP(-$A$2*$B$2)*Tableau1[[#This Row],[Normal(D2)]]</f>
        <v>1.3936525887072073</v>
      </c>
      <c r="G30" s="1">
        <f xml:space="preserve"> Tableau1[[#This Row],[Prix option]] - 0.5 * (-50) * (Tableau1[[#This Row],[Prix Action]] - $C$2)</f>
        <v>-1848.6063474112927</v>
      </c>
      <c r="H30" s="8">
        <f>Tableau1[[#This Row],[Prix option]]-Tableau1[[#This Row],[D1]]*Tableau1[[#This Row],[Prix Action]]</f>
        <v>27.164669085520359</v>
      </c>
      <c r="I30" s="9">
        <f t="shared" si="1"/>
        <v>-27.673667264949785</v>
      </c>
    </row>
    <row r="31" spans="1:9" x14ac:dyDescent="0.3">
      <c r="A31">
        <v>27</v>
      </c>
      <c r="B31">
        <f t="shared" si="0"/>
        <v>-0.94925924442640242</v>
      </c>
      <c r="C31">
        <f>Tableau1[[#This Row],[D1]]-$E$2*SQRT($B$2)</f>
        <v>-1.8492592444264024</v>
      </c>
      <c r="D31">
        <f>NORMSDIST(Tableau1[[#This Row],[D1]])</f>
        <v>0.17124438818721804</v>
      </c>
      <c r="E31">
        <f>NORMSDIST(Tableau1[[#This Row],[D2]])</f>
        <v>3.2210193842367535E-2</v>
      </c>
      <c r="F31" s="1">
        <f>Tableau1[[#This Row],[Prix Action]]*Tableau1[[#This Row],[Normal(D1)]]-$C$2*EXP(-$A$2*$B$2)*Tableau1[[#This Row],[Normal(D2)]]</f>
        <v>1.5596700658817153</v>
      </c>
      <c r="G31" s="1">
        <f xml:space="preserve"> Tableau1[[#This Row],[Prix option]] - 0.5 * (-50) * (Tableau1[[#This Row],[Prix Action]] - $C$2)</f>
        <v>-1823.4403299341184</v>
      </c>
      <c r="H31" s="8">
        <f>Tableau1[[#This Row],[Prix option]]-Tableau1[[#This Row],[D1]]*Tableau1[[#This Row],[Prix Action]]</f>
        <v>27.189669665394579</v>
      </c>
      <c r="I31" s="9">
        <f t="shared" si="1"/>
        <v>-26.853586406021726</v>
      </c>
    </row>
    <row r="32" spans="1:9" x14ac:dyDescent="0.3">
      <c r="A32">
        <v>28</v>
      </c>
      <c r="B32">
        <f t="shared" si="0"/>
        <v>-0.90885075090320799</v>
      </c>
      <c r="C32">
        <f>Tableau1[[#This Row],[D1]]-$E$2*SQRT($B$2)</f>
        <v>-1.8088507509032081</v>
      </c>
      <c r="D32">
        <f>NORMSDIST(Tableau1[[#This Row],[D1]])</f>
        <v>0.18171445658836577</v>
      </c>
      <c r="E32">
        <f>NORMSDIST(Tableau1[[#This Row],[D2]])</f>
        <v>3.5237096662068555E-2</v>
      </c>
      <c r="F32" s="1">
        <f>Tableau1[[#This Row],[Prix Action]]*Tableau1[[#This Row],[Normal(D1)]]-$C$2*EXP(-$A$2*$B$2)*Tableau1[[#This Row],[Normal(D2)]]</f>
        <v>1.7361484665806914</v>
      </c>
      <c r="G32" s="1">
        <f xml:space="preserve"> Tableau1[[#This Row],[Prix option]] - 0.5 * (-50) * (Tableau1[[#This Row],[Prix Action]] - $C$2)</f>
        <v>-1798.2638515334193</v>
      </c>
      <c r="H32" s="8">
        <f>Tableau1[[#This Row],[Prix option]]-Tableau1[[#This Row],[D1]]*Tableau1[[#This Row],[Prix Action]]</f>
        <v>27.183969491870513</v>
      </c>
      <c r="I32" s="9">
        <f t="shared" si="1"/>
        <v>-25.984401929442129</v>
      </c>
    </row>
    <row r="33" spans="1:9" x14ac:dyDescent="0.3">
      <c r="A33">
        <v>29</v>
      </c>
      <c r="B33">
        <f t="shared" si="0"/>
        <v>-0.86986039555735262</v>
      </c>
      <c r="C33">
        <f>Tableau1[[#This Row],[D1]]-$E$2*SQRT($B$2)</f>
        <v>-1.7698603955573526</v>
      </c>
      <c r="D33">
        <f>NORMSDIST(Tableau1[[#This Row],[D1]])</f>
        <v>0.19218835055668046</v>
      </c>
      <c r="E33">
        <f>NORMSDIST(Tableau1[[#This Row],[D2]])</f>
        <v>3.8375199898418227E-2</v>
      </c>
      <c r="F33" s="1">
        <f>Tableau1[[#This Row],[Prix Action]]*Tableau1[[#This Row],[Normal(D1)]]-$C$2*EXP(-$A$2*$B$2)*Tableau1[[#This Row],[Normal(D2)]]</f>
        <v>1.9231002346965105</v>
      </c>
      <c r="G33" s="1">
        <f xml:space="preserve"> Tableau1[[#This Row],[Prix option]] - 0.5 * (-50) * (Tableau1[[#This Row],[Prix Action]] - $C$2)</f>
        <v>-1773.0768997653036</v>
      </c>
      <c r="H33" s="8">
        <f>Tableau1[[#This Row],[Prix option]]-Tableau1[[#This Row],[D1]]*Tableau1[[#This Row],[Prix Action]]</f>
        <v>27.149051705859733</v>
      </c>
      <c r="I33" s="9">
        <f t="shared" si="1"/>
        <v>-25.068518854357123</v>
      </c>
    </row>
    <row r="34" spans="1:9" x14ac:dyDescent="0.3">
      <c r="A34">
        <v>30</v>
      </c>
      <c r="B34">
        <f t="shared" si="0"/>
        <v>-0.83219200480659561</v>
      </c>
      <c r="C34">
        <f>Tableau1[[#This Row],[D1]]-$E$2*SQRT($B$2)</f>
        <v>-1.7321920048065955</v>
      </c>
      <c r="D34">
        <f>NORMSDIST(Tableau1[[#This Row],[D1]])</f>
        <v>0.20265028801898116</v>
      </c>
      <c r="E34">
        <f>NORMSDIST(Tableau1[[#This Row],[D2]])</f>
        <v>4.161969104754535E-2</v>
      </c>
      <c r="F34" s="1">
        <f>Tableau1[[#This Row],[Prix Action]]*Tableau1[[#This Row],[Normal(D1)]]-$C$2*EXP(-$A$2*$B$2)*Tableau1[[#This Row],[Normal(D2)]]</f>
        <v>2.120521164264026</v>
      </c>
      <c r="G34" s="1">
        <f xml:space="preserve"> Tableau1[[#This Row],[Prix option]] - 0.5 * (-50) * (Tableau1[[#This Row],[Prix Action]] - $C$2)</f>
        <v>-1747.8794788357359</v>
      </c>
      <c r="H34" s="8">
        <f>Tableau1[[#This Row],[Prix option]]-Tableau1[[#This Row],[D1]]*Tableau1[[#This Row],[Prix Action]]</f>
        <v>27.086281308461896</v>
      </c>
      <c r="I34" s="9">
        <f t="shared" si="1"/>
        <v>-24.108116972397948</v>
      </c>
    </row>
    <row r="35" spans="1:9" x14ac:dyDescent="0.3">
      <c r="A35">
        <v>31</v>
      </c>
      <c r="B35">
        <f t="shared" si="0"/>
        <v>-0.79575886833660558</v>
      </c>
      <c r="C35">
        <f>Tableau1[[#This Row],[D1]]-$E$2*SQRT($B$2)</f>
        <v>-1.6957588683366056</v>
      </c>
      <c r="D35">
        <f>NORMSDIST(Tableau1[[#This Row],[D1]])</f>
        <v>0.21308610156279342</v>
      </c>
      <c r="E35">
        <f>NORMSDIST(Tableau1[[#This Row],[D2]])</f>
        <v>4.4965777465738557E-2</v>
      </c>
      <c r="F35" s="1">
        <f>Tableau1[[#This Row],[Prix Action]]*Tableau1[[#This Row],[Normal(D1)]]-$C$2*EXP(-$A$2*$B$2)*Tableau1[[#This Row],[Normal(D2)]]</f>
        <v>2.3283920863504299</v>
      </c>
      <c r="G35" s="1">
        <f xml:space="preserve"> Tableau1[[#This Row],[Prix option]] - 0.5 * (-50) * (Tableau1[[#This Row],[Prix Action]] - $C$2)</f>
        <v>-1722.6716079136495</v>
      </c>
      <c r="H35" s="8">
        <f>Tableau1[[#This Row],[Prix option]]-Tableau1[[#This Row],[D1]]*Tableau1[[#This Row],[Prix Action]]</f>
        <v>26.996917004785203</v>
      </c>
      <c r="I35" s="9">
        <f t="shared" si="1"/>
        <v>-23.105175553520507</v>
      </c>
    </row>
    <row r="36" spans="1:9" x14ac:dyDescent="0.3">
      <c r="A36">
        <v>32</v>
      </c>
      <c r="B36">
        <f t="shared" si="0"/>
        <v>-0.76048253687596079</v>
      </c>
      <c r="C36">
        <f>Tableau1[[#This Row],[D1]]-$E$2*SQRT($B$2)</f>
        <v>-1.6604825368759608</v>
      </c>
      <c r="D36">
        <f>NORMSDIST(Tableau1[[#This Row],[D1]])</f>
        <v>0.22348310192716817</v>
      </c>
      <c r="E36">
        <f>NORMSDIST(Tableau1[[#This Row],[D2]])</f>
        <v>4.8408709070623869E-2</v>
      </c>
      <c r="F36" s="1">
        <f>Tableau1[[#This Row],[Prix Action]]*Tableau1[[#This Row],[Normal(D1)]]-$C$2*EXP(-$A$2*$B$2)*Tableau1[[#This Row],[Normal(D2)]]</f>
        <v>2.5466804146621778</v>
      </c>
      <c r="G36" s="1">
        <f xml:space="preserve"> Tableau1[[#This Row],[Prix option]] - 0.5 * (-50) * (Tableau1[[#This Row],[Prix Action]] - $C$2)</f>
        <v>-1697.4533195853378</v>
      </c>
      <c r="H36" s="8">
        <f>Tableau1[[#This Row],[Prix option]]-Tableau1[[#This Row],[D1]]*Tableau1[[#This Row],[Prix Action]]</f>
        <v>26.882121594692922</v>
      </c>
      <c r="I36" s="9">
        <f t="shared" si="1"/>
        <v>-22.061494957439798</v>
      </c>
    </row>
    <row r="37" spans="1:9" x14ac:dyDescent="0.3">
      <c r="A37">
        <v>33</v>
      </c>
      <c r="B37">
        <f t="shared" ref="B37:B68" si="2" xml:space="preserve"> (LN($A37/$C$2) + ($A$2 + ($E$2^2)/2) * $B$2) / ($E$2 * SQRT($B$2))</f>
        <v>-0.72629180502401225</v>
      </c>
      <c r="C37">
        <f>Tableau1[[#This Row],[D1]]-$E$2*SQRT($B$2)</f>
        <v>-1.6262918050240123</v>
      </c>
      <c r="D37">
        <f>NORMSDIST(Tableau1[[#This Row],[D1]])</f>
        <v>0.23382995105650708</v>
      </c>
      <c r="E37">
        <f>NORMSDIST(Tableau1[[#This Row],[D2]])</f>
        <v>5.1943797134186717E-2</v>
      </c>
      <c r="F37" s="1">
        <f>Tableau1[[#This Row],[Prix Action]]*Tableau1[[#This Row],[Normal(D1)]]-$C$2*EXP(-$A$2*$B$2)*Tableau1[[#This Row],[Normal(D2)]]</f>
        <v>2.7753415594313067</v>
      </c>
      <c r="G37" s="1">
        <f xml:space="preserve"> Tableau1[[#This Row],[Prix option]] - 0.5 * (-50) * (Tableau1[[#This Row],[Prix Action]] - $C$2)</f>
        <v>-1672.2246584405686</v>
      </c>
      <c r="H37" s="8">
        <f>Tableau1[[#This Row],[Prix option]]-Tableau1[[#This Row],[D1]]*Tableau1[[#This Row],[Prix Action]]</f>
        <v>26.742971125223711</v>
      </c>
      <c r="I37" s="9">
        <f t="shared" ref="I37:I68" si="3">$F38-$F37-(H38*$A38-$H37*$A37)</f>
        <v>-20.97871559623578</v>
      </c>
    </row>
    <row r="38" spans="1:9" x14ac:dyDescent="0.3">
      <c r="A38">
        <v>34</v>
      </c>
      <c r="B38">
        <f t="shared" si="2"/>
        <v>-0.69312184596881077</v>
      </c>
      <c r="C38">
        <f>Tableau1[[#This Row],[D1]]-$E$2*SQRT($B$2)</f>
        <v>-1.5931218459688108</v>
      </c>
      <c r="D38">
        <f>NORMSDIST(Tableau1[[#This Row],[D1]])</f>
        <v>0.24411654453365017</v>
      </c>
      <c r="E38">
        <f>NORMSDIST(Tableau1[[#This Row],[D2]])</f>
        <v>5.5566429705962143E-2</v>
      </c>
      <c r="F38" s="1">
        <f>Tableau1[[#This Row],[Prix Action]]*Tableau1[[#This Row],[Normal(D1)]]-$C$2*EXP(-$A$2*$B$2)*Tableau1[[#This Row],[Normal(D2)]]</f>
        <v>3.0143202190679306</v>
      </c>
      <c r="G38" s="1">
        <f xml:space="preserve"> Tableau1[[#This Row],[Prix option]] - 0.5 * (-50) * (Tableau1[[#This Row],[Prix Action]] - $C$2)</f>
        <v>-1646.9856797809321</v>
      </c>
      <c r="H38" s="8">
        <f>Tableau1[[#This Row],[Prix option]]-Tableau1[[#This Row],[D1]]*Tableau1[[#This Row],[Prix Action]]</f>
        <v>26.580462982007496</v>
      </c>
      <c r="I38" s="9">
        <f t="shared" si="3"/>
        <v>-19.858334619868426</v>
      </c>
    </row>
    <row r="39" spans="1:9" x14ac:dyDescent="0.3">
      <c r="A39">
        <v>35</v>
      </c>
      <c r="B39">
        <f t="shared" si="2"/>
        <v>-0.66091347166519754</v>
      </c>
      <c r="C39">
        <f>Tableau1[[#This Row],[D1]]-$E$2*SQRT($B$2)</f>
        <v>-1.5609134716651976</v>
      </c>
      <c r="D39">
        <f>NORMSDIST(Tableau1[[#This Row],[D1]])</f>
        <v>0.25433390305491177</v>
      </c>
      <c r="E39">
        <f>NORMSDIST(Tableau1[[#This Row],[D2]])</f>
        <v>5.9272084135555694E-2</v>
      </c>
      <c r="F39" s="1">
        <f>Tableau1[[#This Row],[Prix Action]]*Tableau1[[#This Row],[Normal(D1)]]-$C$2*EXP(-$A$2*$B$2)*Tableau1[[#This Row],[Normal(D2)]]</f>
        <v>3.2635515587996569</v>
      </c>
      <c r="G39" s="1">
        <f xml:space="preserve"> Tableau1[[#This Row],[Prix option]] - 0.5 * (-50) * (Tableau1[[#This Row],[Prix Action]] - $C$2)</f>
        <v>-1621.7364484412003</v>
      </c>
      <c r="H39" s="8">
        <f>Tableau1[[#This Row],[Prix option]]-Tableau1[[#This Row],[D1]]*Tableau1[[#This Row],[Prix Action]]</f>
        <v>26.395523067081569</v>
      </c>
      <c r="I39" s="9">
        <f t="shared" si="3"/>
        <v>-18.701720636510693</v>
      </c>
    </row>
    <row r="40" spans="1:9" x14ac:dyDescent="0.3">
      <c r="A40">
        <v>36</v>
      </c>
      <c r="B40">
        <f t="shared" si="2"/>
        <v>-0.62961249725775703</v>
      </c>
      <c r="C40">
        <f>Tableau1[[#This Row],[D1]]-$E$2*SQRT($B$2)</f>
        <v>-1.5296124972577569</v>
      </c>
      <c r="D40">
        <f>NORMSDIST(Tableau1[[#This Row],[D1]])</f>
        <v>0.26447407251278893</v>
      </c>
      <c r="E40">
        <f>NORMSDIST(Tableau1[[#This Row],[D2]])</f>
        <v>6.305633710268975E-2</v>
      </c>
      <c r="F40" s="1">
        <f>Tableau1[[#This Row],[Prix Action]]*Tableau1[[#This Row],[Normal(D1)]]-$C$2*EXP(-$A$2*$B$2)*Tableau1[[#This Row],[Normal(D2)]]</f>
        <v>3.5229622851289424</v>
      </c>
      <c r="G40" s="1">
        <f xml:space="preserve"> Tableau1[[#This Row],[Prix option]] - 0.5 * (-50) * (Tableau1[[#This Row],[Prix Action]] - $C$2)</f>
        <v>-1596.4770377148711</v>
      </c>
      <c r="H40" s="8">
        <f>Tableau1[[#This Row],[Prix option]]-Tableau1[[#This Row],[D1]]*Tableau1[[#This Row],[Prix Action]]</f>
        <v>26.189012186408192</v>
      </c>
      <c r="I40" s="9">
        <f t="shared" si="3"/>
        <v>-17.510126730784346</v>
      </c>
    </row>
    <row r="41" spans="1:9" x14ac:dyDescent="0.3">
      <c r="A41">
        <v>37</v>
      </c>
      <c r="B41">
        <f t="shared" si="2"/>
        <v>-0.59916919260429657</v>
      </c>
      <c r="C41">
        <f>Tableau1[[#This Row],[D1]]-$E$2*SQRT($B$2)</f>
        <v>-1.4991691926042967</v>
      </c>
      <c r="D41">
        <f>NORMSDIST(Tableau1[[#This Row],[D1]])</f>
        <v>0.27453003219577077</v>
      </c>
      <c r="E41">
        <f>NORMSDIST(Tableau1[[#This Row],[D2]])</f>
        <v>6.6914872509440726E-2</v>
      </c>
      <c r="F41" s="1">
        <f>Tableau1[[#This Row],[Prix Action]]*Tableau1[[#This Row],[Normal(D1)]]-$C$2*EXP(-$A$2*$B$2)*Tableau1[[#This Row],[Normal(D2)]]</f>
        <v>3.792471624474123</v>
      </c>
      <c r="G41" s="1">
        <f xml:space="preserve"> Tableau1[[#This Row],[Prix option]] - 0.5 * (-50) * (Tableau1[[#This Row],[Prix Action]] - $C$2)</f>
        <v>-1571.207528375526</v>
      </c>
      <c r="H41" s="8">
        <f>Tableau1[[#This Row],[Prix option]]-Tableau1[[#This Row],[D1]]*Tableau1[[#This Row],[Prix Action]]</f>
        <v>25.961731750833096</v>
      </c>
      <c r="I41" s="9">
        <f t="shared" si="3"/>
        <v>-16.284702002787604</v>
      </c>
    </row>
    <row r="42" spans="1:9" x14ac:dyDescent="0.3">
      <c r="A42">
        <v>38</v>
      </c>
      <c r="B42">
        <f t="shared" si="2"/>
        <v>-0.56953780695745071</v>
      </c>
      <c r="C42">
        <f>Tableau1[[#This Row],[D1]]-$E$2*SQRT($B$2)</f>
        <v>-1.4695378069574507</v>
      </c>
      <c r="D42">
        <f>NORMSDIST(Tableau1[[#This Row],[D1]])</f>
        <v>0.28449561058737549</v>
      </c>
      <c r="E42">
        <f>NORMSDIST(Tableau1[[#This Row],[D2]])</f>
        <v>7.0843487542491576E-2</v>
      </c>
      <c r="F42" s="1">
        <f>Tableau1[[#This Row],[Prix Action]]*Tableau1[[#This Row],[Normal(D1)]]-$C$2*EXP(-$A$2*$B$2)*Tableau1[[#This Row],[Normal(D2)]]</f>
        <v>4.0719922138534912</v>
      </c>
      <c r="G42" s="1">
        <f xml:space="preserve"> Tableau1[[#This Row],[Prix option]] - 0.5 * (-50) * (Tableau1[[#This Row],[Prix Action]] - $C$2)</f>
        <v>-1545.9280077861465</v>
      </c>
      <c r="H42" s="8">
        <f>Tableau1[[#This Row],[Prix option]]-Tableau1[[#This Row],[D1]]*Tableau1[[#This Row],[Prix Action]]</f>
        <v>25.714428878236617</v>
      </c>
      <c r="I42" s="9">
        <f t="shared" si="3"/>
        <v>-15.026501817708363</v>
      </c>
    </row>
    <row r="43" spans="1:9" x14ac:dyDescent="0.3">
      <c r="A43">
        <v>39</v>
      </c>
      <c r="B43">
        <f t="shared" si="2"/>
        <v>-0.54067615539827218</v>
      </c>
      <c r="C43">
        <f>Tableau1[[#This Row],[D1]]-$E$2*SQRT($B$2)</f>
        <v>-1.4406761553982723</v>
      </c>
      <c r="D43">
        <f>NORMSDIST(Tableau1[[#This Row],[D1]])</f>
        <v>0.2943654082396055</v>
      </c>
      <c r="E43">
        <f>NORMSDIST(Tableau1[[#This Row],[D2]])</f>
        <v>7.4838097172318346E-2</v>
      </c>
      <c r="F43" s="1">
        <f>Tableau1[[#This Row],[Prix Action]]*Tableau1[[#This Row],[Normal(D1)]]-$C$2*EXP(-$A$2*$B$2)*Tableau1[[#This Row],[Normal(D2)]]</f>
        <v>4.3614309109493252</v>
      </c>
      <c r="G43" s="1">
        <f xml:space="preserve"> Tableau1[[#This Row],[Prix option]] - 0.5 * (-50) * (Tableau1[[#This Row],[Prix Action]] - $C$2)</f>
        <v>-1520.6385690890506</v>
      </c>
      <c r="H43" s="8">
        <f>Tableau1[[#This Row],[Prix option]]-Tableau1[[#This Row],[D1]]*Tableau1[[#This Row],[Prix Action]]</f>
        <v>25.447800971481939</v>
      </c>
      <c r="I43" s="9">
        <f t="shared" si="3"/>
        <v>-13.736496928156981</v>
      </c>
    </row>
    <row r="44" spans="1:9" x14ac:dyDescent="0.3">
      <c r="A44">
        <v>40</v>
      </c>
      <c r="B44">
        <f t="shared" si="2"/>
        <v>-0.51254525763795</v>
      </c>
      <c r="C44">
        <f>Tableau1[[#This Row],[D1]]-$E$2*SQRT($B$2)</f>
        <v>-1.41254525763795</v>
      </c>
      <c r="D44">
        <f>NORMSDIST(Tableau1[[#This Row],[D1]])</f>
        <v>0.3041347272031486</v>
      </c>
      <c r="E44">
        <f>NORMSDIST(Tableau1[[#This Row],[D2]])</f>
        <v>7.8894737320587049E-2</v>
      </c>
      <c r="F44" s="1">
        <f>Tableau1[[#This Row],[Prix Action]]*Tableau1[[#This Row],[Normal(D1)]]-$C$2*EXP(-$A$2*$B$2)*Tableau1[[#This Row],[Normal(D2)]]</f>
        <v>4.6606895303662421</v>
      </c>
      <c r="G44" s="1">
        <f xml:space="preserve"> Tableau1[[#This Row],[Prix option]] - 0.5 * (-50) * (Tableau1[[#This Row],[Prix Action]] - $C$2)</f>
        <v>-1495.3393104696338</v>
      </c>
      <c r="H44" s="8">
        <f>Tableau1[[#This Row],[Prix option]]-Tableau1[[#This Row],[D1]]*Tableau1[[#This Row],[Prix Action]]</f>
        <v>25.16249983588424</v>
      </c>
      <c r="I44" s="9">
        <f t="shared" si="3"/>
        <v>-12.415581608358846</v>
      </c>
    </row>
    <row r="45" spans="1:9" x14ac:dyDescent="0.3">
      <c r="A45">
        <v>41</v>
      </c>
      <c r="B45">
        <f t="shared" si="2"/>
        <v>-0.4851090214264262</v>
      </c>
      <c r="C45">
        <f>Tableau1[[#This Row],[D1]]-$E$2*SQRT($B$2)</f>
        <v>-1.3851090214264263</v>
      </c>
      <c r="D45">
        <f>NORMSDIST(Tableau1[[#This Row],[D1]])</f>
        <v>0.31379950651323907</v>
      </c>
      <c r="E45">
        <f>NORMSDIST(Tableau1[[#This Row],[D2]])</f>
        <v>8.3009566896007886E-2</v>
      </c>
      <c r="F45" s="1">
        <f>Tableau1[[#This Row],[Prix Action]]*Tableau1[[#This Row],[Normal(D1)]]-$C$2*EXP(-$A$2*$B$2)*Tableau1[[#This Row],[Normal(D2)]]</f>
        <v>4.9696655123884916</v>
      </c>
      <c r="G45" s="1">
        <f xml:space="preserve"> Tableau1[[#This Row],[Prix option]] - 0.5 * (-50) * (Tableau1[[#This Row],[Prix Action]] - $C$2)</f>
        <v>-1470.0303344876115</v>
      </c>
      <c r="H45" s="8">
        <f>Tableau1[[#This Row],[Prix option]]-Tableau1[[#This Row],[D1]]*Tableau1[[#This Row],[Prix Action]]</f>
        <v>24.859135390871966</v>
      </c>
      <c r="I45" s="9">
        <f t="shared" si="3"/>
        <v>-11.064580919968144</v>
      </c>
    </row>
    <row r="46" spans="1:9" x14ac:dyDescent="0.3">
      <c r="A46">
        <v>42</v>
      </c>
      <c r="B46">
        <f t="shared" si="2"/>
        <v>-0.45833396411635891</v>
      </c>
      <c r="C46">
        <f>Tableau1[[#This Row],[D1]]-$E$2*SQRT($B$2)</f>
        <v>-1.358333964116359</v>
      </c>
      <c r="D46">
        <f>NORMSDIST(Tableau1[[#This Row],[D1]])</f>
        <v>0.32335626325276778</v>
      </c>
      <c r="E46">
        <f>NORMSDIST(Tableau1[[#This Row],[D2]])</f>
        <v>8.7178868871916962E-2</v>
      </c>
      <c r="F46" s="1">
        <f>Tableau1[[#This Row],[Prix Action]]*Tableau1[[#This Row],[Normal(D1)]]-$C$2*EXP(-$A$2*$B$2)*Tableau1[[#This Row],[Normal(D2)]]</f>
        <v>5.2882525300505669</v>
      </c>
      <c r="G46" s="1">
        <f xml:space="preserve"> Tableau1[[#This Row],[Prix option]] - 0.5 * (-50) * (Tableau1[[#This Row],[Prix Action]] - $C$2)</f>
        <v>-1444.7117474699494</v>
      </c>
      <c r="H46" s="8">
        <f>Tableau1[[#This Row],[Prix option]]-Tableau1[[#This Row],[D1]]*Tableau1[[#This Row],[Prix Action]]</f>
        <v>24.53827902293764</v>
      </c>
      <c r="I46" s="9">
        <f t="shared" si="3"/>
        <v>-9.6842572129681876</v>
      </c>
    </row>
    <row r="47" spans="1:9" x14ac:dyDescent="0.3">
      <c r="A47">
        <v>43</v>
      </c>
      <c r="B47">
        <f t="shared" si="2"/>
        <v>-0.43218896699392106</v>
      </c>
      <c r="C47">
        <f>Tableau1[[#This Row],[D1]]-$E$2*SQRT($B$2)</f>
        <v>-1.3321889669939211</v>
      </c>
      <c r="D47">
        <f>NORMSDIST(Tableau1[[#This Row],[D1]])</f>
        <v>0.33280203874055614</v>
      </c>
      <c r="E47">
        <f>NORMSDIST(Tableau1[[#This Row],[D2]])</f>
        <v>9.1399050555415418E-2</v>
      </c>
      <c r="F47" s="1">
        <f>Tableau1[[#This Row],[Prix Action]]*Tableau1[[#This Row],[Normal(D1)]]-$C$2*EXP(-$A$2*$B$2)*Tableau1[[#This Row],[Normal(D2)]]</f>
        <v>5.6163410398699654</v>
      </c>
      <c r="G47" s="1">
        <f xml:space="preserve"> Tableau1[[#This Row],[Prix option]] - 0.5 * (-50) * (Tableau1[[#This Row],[Prix Action]] - $C$2)</f>
        <v>-1419.3836589601301</v>
      </c>
      <c r="H47" s="8">
        <f>Tableau1[[#This Row],[Prix option]]-Tableau1[[#This Row],[D1]]*Tableau1[[#This Row],[Prix Action]]</f>
        <v>24.200466620608569</v>
      </c>
      <c r="I47" s="9">
        <f t="shared" si="3"/>
        <v>-8.2753159512737025</v>
      </c>
    </row>
    <row r="48" spans="1:9" x14ac:dyDescent="0.3">
      <c r="A48">
        <v>44</v>
      </c>
      <c r="B48">
        <f t="shared" si="2"/>
        <v>-0.40664505785536686</v>
      </c>
      <c r="C48">
        <f>Tableau1[[#This Row],[D1]]-$E$2*SQRT($B$2)</f>
        <v>-1.3066450578553668</v>
      </c>
      <c r="D48">
        <f>NORMSDIST(Tableau1[[#This Row],[D1]])</f>
        <v>0.342134349420948</v>
      </c>
      <c r="E48">
        <f>NORMSDIST(Tableau1[[#This Row],[D2]])</f>
        <v>9.5666643177539895E-2</v>
      </c>
      <c r="F48" s="1">
        <f>Tableau1[[#This Row],[Prix Action]]*Tableau1[[#This Row],[Normal(D1)]]-$C$2*EXP(-$A$2*$B$2)*Tableau1[[#This Row],[Normal(D2)]]</f>
        <v>5.9538187811530694</v>
      </c>
      <c r="G48" s="1">
        <f xml:space="preserve"> Tableau1[[#This Row],[Prix option]] - 0.5 * (-50) * (Tableau1[[#This Row],[Prix Action]] - $C$2)</f>
        <v>-1394.0461812188469</v>
      </c>
      <c r="H48" s="8">
        <f>Tableau1[[#This Row],[Prix option]]-Tableau1[[#This Row],[D1]]*Tableau1[[#This Row],[Prix Action]]</f>
        <v>23.846201326789213</v>
      </c>
      <c r="I48" s="9">
        <f t="shared" si="3"/>
        <v>-6.8384109409339136</v>
      </c>
    </row>
    <row r="49" spans="1:9" x14ac:dyDescent="0.3">
      <c r="A49">
        <v>45</v>
      </c>
      <c r="B49">
        <f t="shared" si="2"/>
        <v>-0.38167521801974624</v>
      </c>
      <c r="C49">
        <f>Tableau1[[#This Row],[D1]]-$E$2*SQRT($B$2)</f>
        <v>-1.2816752180197462</v>
      </c>
      <c r="D49">
        <f>NORMSDIST(Tableau1[[#This Row],[D1]])</f>
        <v>0.35135114205976725</v>
      </c>
      <c r="E49">
        <f>NORMSDIST(Tableau1[[#This Row],[D2]])</f>
        <v>9.9978300916267915E-2</v>
      </c>
      <c r="F49" s="1">
        <f>Tableau1[[#This Row],[Prix Action]]*Tableau1[[#This Row],[Normal(D1)]]-$C$2*EXP(-$A$2*$B$2)*Tableau1[[#This Row],[Normal(D2)]]</f>
        <v>6.3005712283754534</v>
      </c>
      <c r="G49" s="1">
        <f xml:space="preserve"> Tableau1[[#This Row],[Prix option]] - 0.5 * (-50) * (Tableau1[[#This Row],[Prix Action]] - $C$2)</f>
        <v>-1368.6994287716245</v>
      </c>
      <c r="H49" s="8">
        <f>Tableau1[[#This Row],[Prix option]]-Tableau1[[#This Row],[D1]]*Tableau1[[#This Row],[Prix Action]]</f>
        <v>23.475956039264034</v>
      </c>
      <c r="I49" s="9">
        <f t="shared" si="3"/>
        <v>-5.3741490287817086</v>
      </c>
    </row>
    <row r="50" spans="1:9" x14ac:dyDescent="0.3">
      <c r="A50">
        <v>46</v>
      </c>
      <c r="B50">
        <f t="shared" si="2"/>
        <v>-0.35725421055444029</v>
      </c>
      <c r="C50">
        <f>Tableau1[[#This Row],[D1]]-$E$2*SQRT($B$2)</f>
        <v>-1.2572542105544402</v>
      </c>
      <c r="D50">
        <f>NORMSDIST(Tableau1[[#This Row],[D1]])</f>
        <v>0.36045075288039885</v>
      </c>
      <c r="E50">
        <f>NORMSDIST(Tableau1[[#This Row],[D2]])</f>
        <v>0.10433079944882732</v>
      </c>
      <c r="F50" s="1">
        <f>Tableau1[[#This Row],[Prix Action]]*Tableau1[[#This Row],[Normal(D1)]]-$C$2*EXP(-$A$2*$B$2)*Tableau1[[#This Row],[Normal(D2)]]</f>
        <v>6.656482000757606</v>
      </c>
      <c r="G50" s="1">
        <f xml:space="preserve"> Tableau1[[#This Row],[Prix option]] - 0.5 * (-50) * (Tableau1[[#This Row],[Prix Action]] - $C$2)</f>
        <v>-1343.3435179992423</v>
      </c>
      <c r="H50" s="8">
        <f>Tableau1[[#This Row],[Prix option]]-Tableau1[[#This Row],[D1]]*Tableau1[[#This Row],[Prix Action]]</f>
        <v>23.090175686261858</v>
      </c>
      <c r="I50" s="9">
        <f t="shared" si="3"/>
        <v>-3.8830943308072499</v>
      </c>
    </row>
    <row r="51" spans="1:9" x14ac:dyDescent="0.3">
      <c r="A51">
        <v>47</v>
      </c>
      <c r="B51">
        <f t="shared" si="2"/>
        <v>-0.33335842697559198</v>
      </c>
      <c r="C51">
        <f>Tableau1[[#This Row],[D1]]-$E$2*SQRT($B$2)</f>
        <v>-1.2333584269755919</v>
      </c>
      <c r="D51">
        <f>NORMSDIST(Tableau1[[#This Row],[D1]])</f>
        <v>0.36943187030166014</v>
      </c>
      <c r="E51">
        <f>NORMSDIST(Tableau1[[#This Row],[D2]])</f>
        <v>0.10872103411647195</v>
      </c>
      <c r="F51" s="1">
        <f>Tableau1[[#This Row],[Prix Action]]*Tableau1[[#This Row],[Normal(D1)]]-$C$2*EXP(-$A$2*$B$2)*Tableau1[[#This Row],[Normal(D2)]]</f>
        <v>7.0214332328046147</v>
      </c>
      <c r="G51" s="1">
        <f xml:space="preserve"> Tableau1[[#This Row],[Prix option]] - 0.5 * (-50) * (Tableau1[[#This Row],[Prix Action]] - $C$2)</f>
        <v>-1317.9785667671954</v>
      </c>
      <c r="H51" s="8">
        <f>Tableau1[[#This Row],[Prix option]]-Tableau1[[#This Row],[D1]]*Tableau1[[#This Row],[Prix Action]]</f>
        <v>22.689279300657439</v>
      </c>
      <c r="I51" s="9">
        <f t="shared" si="3"/>
        <v>-2.3657720421471176</v>
      </c>
    </row>
    <row r="52" spans="1:9" x14ac:dyDescent="0.3">
      <c r="A52">
        <v>48</v>
      </c>
      <c r="B52">
        <f t="shared" si="2"/>
        <v>-0.30996575008911159</v>
      </c>
      <c r="C52">
        <f>Tableau1[[#This Row],[D1]]-$E$2*SQRT($B$2)</f>
        <v>-1.2099657500891117</v>
      </c>
      <c r="D52">
        <f>NORMSDIST(Tableau1[[#This Row],[D1]])</f>
        <v>0.37829350096588021</v>
      </c>
      <c r="E52">
        <f>NORMSDIST(Tableau1[[#This Row],[D2]])</f>
        <v>0.11314601777334282</v>
      </c>
      <c r="F52" s="1">
        <f>Tableau1[[#This Row],[Prix Action]]*Tableau1[[#This Row],[Normal(D1)]]-$C$2*EXP(-$A$2*$B$2)*Tableau1[[#This Row],[Normal(D2)]]</f>
        <v>7.3953059092538069</v>
      </c>
      <c r="G52" s="1">
        <f xml:space="preserve"> Tableau1[[#This Row],[Prix option]] - 0.5 * (-50) * (Tableau1[[#This Row],[Prix Action]] - $C$2)</f>
        <v>-1292.6046940907463</v>
      </c>
      <c r="H52" s="8">
        <f>Tableau1[[#This Row],[Prix option]]-Tableau1[[#This Row],[D1]]*Tableau1[[#This Row],[Prix Action]]</f>
        <v>22.273661913531164</v>
      </c>
      <c r="I52" s="9">
        <f t="shared" si="3"/>
        <v>-0.82267187424789334</v>
      </c>
    </row>
    <row r="53" spans="1:9" x14ac:dyDescent="0.3">
      <c r="A53">
        <v>49</v>
      </c>
      <c r="B53">
        <f t="shared" si="2"/>
        <v>-0.28705543097496083</v>
      </c>
      <c r="C53">
        <f>Tableau1[[#This Row],[D1]]-$E$2*SQRT($B$2)</f>
        <v>-1.1870554309749608</v>
      </c>
      <c r="D53">
        <f>NORMSDIST(Tableau1[[#This Row],[D1]])</f>
        <v>0.38703493877093315</v>
      </c>
      <c r="E53">
        <f>NORMSDIST(Tableau1[[#This Row],[D2]])</f>
        <v>0.11760287838102022</v>
      </c>
      <c r="F53" s="1">
        <f>Tableau1[[#This Row],[Prix Action]]*Tableau1[[#This Row],[Normal(D1)]]-$C$2*EXP(-$A$2*$B$2)*Tableau1[[#This Row],[Normal(D2)]]</f>
        <v>7.7779801675751887</v>
      </c>
      <c r="G53" s="1">
        <f xml:space="preserve"> Tableau1[[#This Row],[Prix option]] - 0.5 * (-50) * (Tableau1[[#This Row],[Prix Action]] - $C$2)</f>
        <v>-1267.2220198324248</v>
      </c>
      <c r="H53" s="8">
        <f>Tableau1[[#This Row],[Prix option]]-Tableau1[[#This Row],[D1]]*Tableau1[[#This Row],[Prix Action]]</f>
        <v>21.843696285348269</v>
      </c>
      <c r="I53" s="9">
        <f t="shared" si="3"/>
        <v>0.74574884075364167</v>
      </c>
    </row>
    <row r="54" spans="1:9" x14ac:dyDescent="0.3">
      <c r="A54">
        <v>50</v>
      </c>
      <c r="B54">
        <f t="shared" si="2"/>
        <v>-0.26460797839993916</v>
      </c>
      <c r="C54">
        <f>Tableau1[[#This Row],[D1]]-$E$2*SQRT($B$2)</f>
        <v>-1.1646079783999392</v>
      </c>
      <c r="D54">
        <f>NORMSDIST(Tableau1[[#This Row],[D1]])</f>
        <v>0.39565573664376508</v>
      </c>
      <c r="E54">
        <f>NORMSDIST(Tableau1[[#This Row],[D2]])</f>
        <v>0.12208885640168558</v>
      </c>
      <c r="F54" s="1">
        <f>Tableau1[[#This Row],[Prix Action]]*Tableau1[[#This Row],[Normal(D1)]]-$C$2*EXP(-$A$2*$B$2)*Tableau1[[#This Row],[Normal(D2)]]</f>
        <v>8.1693355708956847</v>
      </c>
      <c r="G54" s="1">
        <f xml:space="preserve"> Tableau1[[#This Row],[Prix option]] - 0.5 * (-50) * (Tableau1[[#This Row],[Prix Action]] - $C$2)</f>
        <v>-1241.8306644291042</v>
      </c>
      <c r="H54" s="8">
        <f>Tableau1[[#This Row],[Prix option]]-Tableau1[[#This Row],[D1]]*Tableau1[[#This Row],[Prix Action]]</f>
        <v>21.399734490892641</v>
      </c>
      <c r="I54" s="9">
        <f t="shared" si="3"/>
        <v>2.3390623431264945</v>
      </c>
    </row>
    <row r="55" spans="1:9" x14ac:dyDescent="0.3">
      <c r="A55">
        <v>51</v>
      </c>
      <c r="B55">
        <f t="shared" si="2"/>
        <v>-0.24260505918196179</v>
      </c>
      <c r="C55">
        <f>Tableau1[[#This Row],[D1]]-$E$2*SQRT($B$2)</f>
        <v>-1.1426050591819619</v>
      </c>
      <c r="D55">
        <f>NORMSDIST(Tableau1[[#This Row],[D1]])</f>
        <v>0.40415568081514708</v>
      </c>
      <c r="E55">
        <f>NORMSDIST(Tableau1[[#This Row],[D2]])</f>
        <v>0.12660130203527903</v>
      </c>
      <c r="F55" s="1">
        <f>Tableau1[[#This Row],[Prix Action]]*Tableau1[[#This Row],[Normal(D1)]]-$C$2*EXP(-$A$2*$B$2)*Tableau1[[#This Row],[Normal(D2)]]</f>
        <v>8.5692513539665462</v>
      </c>
      <c r="G55" s="1">
        <f xml:space="preserve"> Tableau1[[#This Row],[Prix option]] - 0.5 * (-50) * (Tableau1[[#This Row],[Prix Action]] - $C$2)</f>
        <v>-1216.4307486460334</v>
      </c>
      <c r="H55" s="8">
        <f>Tableau1[[#This Row],[Prix option]]-Tableau1[[#This Row],[D1]]*Tableau1[[#This Row],[Prix Action]]</f>
        <v>20.942109372246598</v>
      </c>
      <c r="I55" s="9">
        <f t="shared" si="3"/>
        <v>3.9568679049415287</v>
      </c>
    </row>
    <row r="56" spans="1:9" x14ac:dyDescent="0.3">
      <c r="A56">
        <v>52</v>
      </c>
      <c r="B56">
        <f t="shared" si="2"/>
        <v>-0.22102940822962658</v>
      </c>
      <c r="C56">
        <f>Tableau1[[#This Row],[D1]]-$E$2*SQRT($B$2)</f>
        <v>-1.1210294082296266</v>
      </c>
      <c r="D56">
        <f>NORMSDIST(Tableau1[[#This Row],[D1]])</f>
        <v>0.41253476737597955</v>
      </c>
      <c r="E56">
        <f>NORMSDIST(Tableau1[[#This Row],[D2]])</f>
        <v>0.13113767233950496</v>
      </c>
      <c r="F56" s="1">
        <f>Tableau1[[#This Row],[Prix Action]]*Tableau1[[#This Row],[Normal(D1)]]-$C$2*EXP(-$A$2*$B$2)*Tableau1[[#This Row],[Normal(D2)]]</f>
        <v>8.9776066445638847</v>
      </c>
      <c r="G56" s="1">
        <f xml:space="preserve"> Tableau1[[#This Row],[Prix option]] - 0.5 * (-50) * (Tableau1[[#This Row],[Prix Action]] - $C$2)</f>
        <v>-1191.0223933554362</v>
      </c>
      <c r="H56" s="8">
        <f>Tableau1[[#This Row],[Prix option]]-Tableau1[[#This Row],[D1]]*Tableau1[[#This Row],[Prix Action]]</f>
        <v>20.471135872504469</v>
      </c>
      <c r="I56" s="9">
        <f t="shared" si="3"/>
        <v>5.5987895281946045</v>
      </c>
    </row>
    <row r="57" spans="1:9" x14ac:dyDescent="0.3">
      <c r="A57">
        <v>53</v>
      </c>
      <c r="B57">
        <f t="shared" si="2"/>
        <v>-0.19986474715107722</v>
      </c>
      <c r="C57">
        <f>Tableau1[[#This Row],[D1]]-$E$2*SQRT($B$2)</f>
        <v>-1.0998647471510772</v>
      </c>
      <c r="D57">
        <f>NORMSDIST(Tableau1[[#This Row],[D1]])</f>
        <v>0.42079318091450019</v>
      </c>
      <c r="E57">
        <f>NORMSDIST(Tableau1[[#This Row],[D2]])</f>
        <v>0.1356955282658725</v>
      </c>
      <c r="F57" s="1">
        <f>Tableau1[[#This Row],[Prix Action]]*Tableau1[[#This Row],[Normal(D1)]]-$C$2*EXP(-$A$2*$B$2)*Tableau1[[#This Row],[Normal(D2)]]</f>
        <v>9.3942806625018811</v>
      </c>
      <c r="G57" s="1">
        <f xml:space="preserve"> Tableau1[[#This Row],[Prix option]] - 0.5 * (-50) * (Tableau1[[#This Row],[Prix Action]] - $C$2)</f>
        <v>-1165.6057193374982</v>
      </c>
      <c r="H57" s="8">
        <f>Tableau1[[#This Row],[Prix option]]-Tableau1[[#This Row],[D1]]*Tableau1[[#This Row],[Prix Action]]</f>
        <v>19.987112261508976</v>
      </c>
      <c r="I57" s="9">
        <f t="shared" si="3"/>
        <v>7.2644738572355791</v>
      </c>
    </row>
    <row r="58" spans="1:9" x14ac:dyDescent="0.3">
      <c r="A58">
        <v>54</v>
      </c>
      <c r="B58">
        <f t="shared" si="2"/>
        <v>-0.17909571047090769</v>
      </c>
      <c r="C58">
        <f>Tableau1[[#This Row],[D1]]-$E$2*SQRT($B$2)</f>
        <v>-1.0790957104709078</v>
      </c>
      <c r="D58">
        <f>NORMSDIST(Tableau1[[#This Row],[D1]])</f>
        <v>0.42893127505127471</v>
      </c>
      <c r="E58">
        <f>NORMSDIST(Tableau1[[#This Row],[D2]])</f>
        <v>0.14027253164004902</v>
      </c>
      <c r="F58" s="1">
        <f>Tableau1[[#This Row],[Prix Action]]*Tableau1[[#This Row],[Normal(D1)]]-$C$2*EXP(-$A$2*$B$2)*Tableau1[[#This Row],[Normal(D2)]]</f>
        <v>9.8191528982466316</v>
      </c>
      <c r="G58" s="1">
        <f xml:space="preserve"> Tableau1[[#This Row],[Prix option]] - 0.5 * (-50) * (Tableau1[[#This Row],[Prix Action]] - $C$2)</f>
        <v>-1140.1808471017534</v>
      </c>
      <c r="H58" s="8">
        <f>Tableau1[[#This Row],[Prix option]]-Tableau1[[#This Row],[D1]]*Tableau1[[#This Row],[Prix Action]]</f>
        <v>19.490321263675646</v>
      </c>
      <c r="I58" s="9">
        <f t="shared" si="3"/>
        <v>8.9535882837759946</v>
      </c>
    </row>
    <row r="59" spans="1:9" x14ac:dyDescent="0.3">
      <c r="A59">
        <v>55</v>
      </c>
      <c r="B59">
        <f t="shared" si="2"/>
        <v>-0.15870777861735599</v>
      </c>
      <c r="C59">
        <f>Tableau1[[#This Row],[D1]]-$E$2*SQRT($B$2)</f>
        <v>-1.058707778617356</v>
      </c>
      <c r="D59">
        <f>NORMSDIST(Tableau1[[#This Row],[D1]])</f>
        <v>0.43694955470493813</v>
      </c>
      <c r="E59">
        <f>NORMSDIST(Tableau1[[#This Row],[D2]])</f>
        <v>0.14486644211054406</v>
      </c>
      <c r="F59" s="1">
        <f>Tableau1[[#This Row],[Prix Action]]*Tableau1[[#This Row],[Normal(D1)]]-$C$2*EXP(-$A$2*$B$2)*Tableau1[[#This Row],[Normal(D2)]]</f>
        <v>10.252103272943712</v>
      </c>
      <c r="G59" s="1">
        <f xml:space="preserve"> Tableau1[[#This Row],[Prix option]] - 0.5 * (-50) * (Tableau1[[#This Row],[Prix Action]] - $C$2)</f>
        <v>-1114.7478967270563</v>
      </c>
      <c r="H59" s="8">
        <f>Tableau1[[#This Row],[Prix option]]-Tableau1[[#This Row],[D1]]*Tableau1[[#This Row],[Prix Action]]</f>
        <v>18.981031096898292</v>
      </c>
      <c r="I59" s="9">
        <f t="shared" si="3"/>
        <v>10.665819225229946</v>
      </c>
    </row>
    <row r="60" spans="1:9" x14ac:dyDescent="0.3">
      <c r="A60">
        <v>56</v>
      </c>
      <c r="B60">
        <f t="shared" si="2"/>
        <v>-0.13868721694771335</v>
      </c>
      <c r="C60">
        <f>Tableau1[[#This Row],[D1]]-$E$2*SQRT($B$2)</f>
        <v>-1.0386872169477135</v>
      </c>
      <c r="D60">
        <f>NORMSDIST(Tableau1[[#This Row],[D1]])</f>
        <v>0.44484865993640654</v>
      </c>
      <c r="E60">
        <f>NORMSDIST(Tableau1[[#This Row],[D2]])</f>
        <v>0.14947511408605832</v>
      </c>
      <c r="F60" s="1">
        <f>Tableau1[[#This Row],[Prix Action]]*Tableau1[[#This Row],[Normal(D1)]]-$C$2*EXP(-$A$2*$B$2)*Tableau1[[#This Row],[Normal(D2)]]</f>
        <v>10.693012281512784</v>
      </c>
      <c r="G60" s="1">
        <f xml:space="preserve"> Tableau1[[#This Row],[Prix option]] - 0.5 * (-50) * (Tableau1[[#This Row],[Prix Action]] - $C$2)</f>
        <v>-1089.3069877184871</v>
      </c>
      <c r="H60" s="8">
        <f>Tableau1[[#This Row],[Prix option]]-Tableau1[[#This Row],[D1]]*Tableau1[[#This Row],[Prix Action]]</f>
        <v>18.459496430584732</v>
      </c>
      <c r="I60" s="9">
        <f t="shared" si="3"/>
        <v>12.400870559182284</v>
      </c>
    </row>
    <row r="61" spans="1:9" x14ac:dyDescent="0.3">
      <c r="A61">
        <v>57</v>
      </c>
      <c r="B61">
        <f t="shared" si="2"/>
        <v>-0.11902102017060144</v>
      </c>
      <c r="C61">
        <f>Tableau1[[#This Row],[D1]]-$E$2*SQRT($B$2)</f>
        <v>-1.0190210201706014</v>
      </c>
      <c r="D61">
        <f>NORMSDIST(Tableau1[[#This Row],[D1]])</f>
        <v>0.45262935123276737</v>
      </c>
      <c r="E61">
        <f>NORMSDIST(Tableau1[[#This Row],[D2]])</f>
        <v>0.15409649367863396</v>
      </c>
      <c r="F61" s="1">
        <f>Tableau1[[#This Row],[Prix Action]]*Tableau1[[#This Row],[Normal(D1)]]-$C$2*EXP(-$A$2*$B$2)*Tableau1[[#This Row],[Normal(D2)]]</f>
        <v>11.14176112031725</v>
      </c>
      <c r="G61" s="1">
        <f xml:space="preserve"> Tableau1[[#This Row],[Prix option]] - 0.5 * (-50) * (Tableau1[[#This Row],[Prix Action]] - $C$2)</f>
        <v>-1063.8582388796829</v>
      </c>
      <c r="H61" s="8">
        <f>Tableau1[[#This Row],[Prix option]]-Tableau1[[#This Row],[D1]]*Tableau1[[#This Row],[Prix Action]]</f>
        <v>17.925959270041531</v>
      </c>
      <c r="I61" s="9">
        <f t="shared" si="3"/>
        <v>14.158462198675437</v>
      </c>
    </row>
    <row r="62" spans="1:9" x14ac:dyDescent="0.3">
      <c r="A62">
        <v>58</v>
      </c>
      <c r="B62">
        <f t="shared" si="2"/>
        <v>-9.9696861601857922E-2</v>
      </c>
      <c r="C62">
        <f>Tableau1[[#This Row],[D1]]-$E$2*SQRT($B$2)</f>
        <v>-0.999696861601858</v>
      </c>
      <c r="D62">
        <f>NORMSDIST(Tableau1[[#This Row],[D1]])</f>
        <v>0.46029249610438289</v>
      </c>
      <c r="E62">
        <f>NORMSDIST(Tableau1[[#This Row],[D2]])</f>
        <v>0.15872861566697924</v>
      </c>
      <c r="F62" s="1">
        <f>Tableau1[[#This Row],[Prix Action]]*Tableau1[[#This Row],[Normal(D1)]]-$C$2*EXP(-$A$2*$B$2)*Tableau1[[#This Row],[Normal(D2)]]</f>
        <v>11.598231800784641</v>
      </c>
      <c r="G62" s="1">
        <f xml:space="preserve"> Tableau1[[#This Row],[Prix option]] - 0.5 * (-50) * (Tableau1[[#This Row],[Prix Action]] - $C$2)</f>
        <v>-1038.4017681992154</v>
      </c>
      <c r="H62" s="8">
        <f>Tableau1[[#This Row],[Prix option]]-Tableau1[[#This Row],[D1]]*Tableau1[[#This Row],[Prix Action]]</f>
        <v>17.380649773692401</v>
      </c>
      <c r="I62" s="9">
        <f t="shared" si="3"/>
        <v>15.938328794659396</v>
      </c>
    </row>
    <row r="63" spans="1:9" x14ac:dyDescent="0.3">
      <c r="A63">
        <v>59</v>
      </c>
      <c r="B63">
        <f t="shared" si="2"/>
        <v>-8.070304675819108E-2</v>
      </c>
      <c r="C63">
        <f>Tableau1[[#This Row],[D1]]-$E$2*SQRT($B$2)</f>
        <v>-0.98070304675819109</v>
      </c>
      <c r="D63">
        <f>NORMSDIST(Tableau1[[#This Row],[D1]])</f>
        <v>0.46783905687998262</v>
      </c>
      <c r="E63">
        <f>NORMSDIST(Tableau1[[#This Row],[D2]])</f>
        <v>0.16336960049195132</v>
      </c>
      <c r="F63" s="1">
        <f>Tableau1[[#This Row],[Prix Action]]*Tableau1[[#This Row],[Normal(D1)]]-$C$2*EXP(-$A$2*$B$2)*Tableau1[[#This Row],[Normal(D2)]]</f>
        <v>12.062307250231932</v>
      </c>
      <c r="G63" s="1">
        <f xml:space="preserve"> Tableau1[[#This Row],[Prix option]] - 0.5 * (-50) * (Tableau1[[#This Row],[Prix Action]] - $C$2)</f>
        <v>-1012.9376927497681</v>
      </c>
      <c r="H63" s="8">
        <f>Tableau1[[#This Row],[Prix option]]-Tableau1[[#This Row],[D1]]*Tableau1[[#This Row],[Prix Action]]</f>
        <v>16.823787008965205</v>
      </c>
      <c r="I63" s="9">
        <f t="shared" si="3"/>
        <v>17.740218553322809</v>
      </c>
    </row>
    <row r="64" spans="1:9" x14ac:dyDescent="0.3">
      <c r="A64">
        <v>60</v>
      </c>
      <c r="B64">
        <f t="shared" si="2"/>
        <v>-6.2028470851100782E-2</v>
      </c>
      <c r="C64">
        <f>Tableau1[[#This Row],[D1]]-$E$2*SQRT($B$2)</f>
        <v>-0.96202847085110077</v>
      </c>
      <c r="D64">
        <f>NORMSDIST(Tableau1[[#This Row],[D1]])</f>
        <v>0.47527007959477757</v>
      </c>
      <c r="E64">
        <f>NORMSDIST(Tableau1[[#This Row],[D2]])</f>
        <v>0.16801765129410667</v>
      </c>
      <c r="F64" s="1">
        <f>Tableau1[[#This Row],[Prix Action]]*Tableau1[[#This Row],[Normal(D1)]]-$C$2*EXP(-$A$2*$B$2)*Tableau1[[#This Row],[Normal(D2)]]</f>
        <v>12.533871401041178</v>
      </c>
      <c r="G64" s="1">
        <f xml:space="preserve"> Tableau1[[#This Row],[Prix option]] - 0.5 * (-50) * (Tableau1[[#This Row],[Prix Action]] - $C$2)</f>
        <v>-987.46612859895879</v>
      </c>
      <c r="H64" s="8">
        <f>Tableau1[[#This Row],[Prix option]]-Tableau1[[#This Row],[D1]]*Tableau1[[#This Row],[Prix Action]]</f>
        <v>16.255579652107226</v>
      </c>
      <c r="I64" s="9">
        <f t="shared" si="3"/>
        <v>19.563892157415886</v>
      </c>
    </row>
    <row r="65" spans="1:9" x14ac:dyDescent="0.3">
      <c r="A65">
        <v>61</v>
      </c>
      <c r="B65">
        <f t="shared" si="2"/>
        <v>-4.3662579794200108E-2</v>
      </c>
      <c r="C65">
        <f>Tableau1[[#This Row],[D1]]-$E$2*SQRT($B$2)</f>
        <v>-0.9436625797942001</v>
      </c>
      <c r="D65">
        <f>NORMSDIST(Tableau1[[#This Row],[D1]])</f>
        <v>0.48258668387596182</v>
      </c>
      <c r="E65">
        <f>NORMSDIST(Tableau1[[#This Row],[D2]])</f>
        <v>0.17267105100145108</v>
      </c>
      <c r="F65" s="1">
        <f>Tableau1[[#This Row],[Prix Action]]*Tableau1[[#This Row],[Normal(D1)]]-$C$2*EXP(-$A$2*$B$2)*Tableau1[[#This Row],[Normal(D2)]]</f>
        <v>13.012809269229297</v>
      </c>
      <c r="G65" s="1">
        <f xml:space="preserve"> Tableau1[[#This Row],[Prix option]] - 0.5 * (-50) * (Tableau1[[#This Row],[Prix Action]] - $C$2)</f>
        <v>-961.98719073077075</v>
      </c>
      <c r="H65" s="8">
        <f>Tableau1[[#This Row],[Prix option]]-Tableau1[[#This Row],[D1]]*Tableau1[[#This Row],[Prix Action]]</f>
        <v>15.676226636675505</v>
      </c>
      <c r="I65" s="9">
        <f t="shared" si="3"/>
        <v>21.409121781690789</v>
      </c>
    </row>
    <row r="66" spans="1:9" x14ac:dyDescent="0.3">
      <c r="A66">
        <v>62</v>
      </c>
      <c r="B66">
        <f t="shared" si="2"/>
        <v>-2.5595334381110869E-2</v>
      </c>
      <c r="C66">
        <f>Tableau1[[#This Row],[D1]]-$E$2*SQRT($B$2)</f>
        <v>-0.92559533438111086</v>
      </c>
      <c r="D66">
        <f>NORMSDIST(Tableau1[[#This Row],[D1]])</f>
        <v>0.48979005373847501</v>
      </c>
      <c r="E66">
        <f>NORMSDIST(Tableau1[[#This Row],[D2]])</f>
        <v>0.1773281594739744</v>
      </c>
      <c r="F66" s="1">
        <f>Tableau1[[#This Row],[Prix Action]]*Tableau1[[#This Row],[Normal(D1)]]-$C$2*EXP(-$A$2*$B$2)*Tableau1[[#This Row],[Normal(D2)]]</f>
        <v>13.4990070233655</v>
      </c>
      <c r="G66" s="1">
        <f xml:space="preserve"> Tableau1[[#This Row],[Prix option]] - 0.5 * (-50) * (Tableau1[[#This Row],[Prix Action]] - $C$2)</f>
        <v>-936.50099297663451</v>
      </c>
      <c r="H66" s="8">
        <f>Tableau1[[#This Row],[Prix option]]-Tableau1[[#This Row],[D1]]*Tableau1[[#This Row],[Prix Action]]</f>
        <v>15.085917754994375</v>
      </c>
      <c r="I66" s="9">
        <f t="shared" si="3"/>
        <v>23.27569019367338</v>
      </c>
    </row>
    <row r="67" spans="1:9" x14ac:dyDescent="0.3">
      <c r="A67">
        <v>63</v>
      </c>
      <c r="B67">
        <f t="shared" si="2"/>
        <v>-7.817177329509619E-3</v>
      </c>
      <c r="C67">
        <f>Tableau1[[#This Row],[D1]]-$E$2*SQRT($B$2)</f>
        <v>-0.90781717732950962</v>
      </c>
      <c r="D67">
        <f>NORMSDIST(Tableau1[[#This Row],[D1]])</f>
        <v>0.49688142921163519</v>
      </c>
      <c r="E67">
        <f>NORMSDIST(Tableau1[[#This Row],[D2]])</f>
        <v>0.18198741071023034</v>
      </c>
      <c r="F67" s="1">
        <f>Tableau1[[#This Row],[Prix Action]]*Tableau1[[#This Row],[Normal(D1)]]-$C$2*EXP(-$A$2*$B$2)*Tableau1[[#This Row],[Normal(D2)]]</f>
        <v>13.992352044706269</v>
      </c>
      <c r="G67" s="1">
        <f xml:space="preserve"> Tableau1[[#This Row],[Prix option]] - 0.5 * (-50) * (Tableau1[[#This Row],[Prix Action]] - $C$2)</f>
        <v>-911.00764795529369</v>
      </c>
      <c r="H67" s="8">
        <f>Tableau1[[#This Row],[Prix option]]-Tableau1[[#This Row],[D1]]*Tableau1[[#This Row],[Prix Action]]</f>
        <v>14.484834216465375</v>
      </c>
      <c r="I67" s="9">
        <f t="shared" si="3"/>
        <v>25.163389931842577</v>
      </c>
    </row>
    <row r="68" spans="1:9" x14ac:dyDescent="0.3">
      <c r="A68">
        <v>64</v>
      </c>
      <c r="B68">
        <f t="shared" si="2"/>
        <v>9.6809970795339352E-3</v>
      </c>
      <c r="C68">
        <f>Tableau1[[#This Row],[D1]]-$E$2*SQRT($B$2)</f>
        <v>-0.89031900292046606</v>
      </c>
      <c r="D68">
        <f>NORMSDIST(Tableau1[[#This Row],[D1]])</f>
        <v>0.50386209872429544</v>
      </c>
      <c r="E68">
        <f>NORMSDIST(Tableau1[[#This Row],[D2]])</f>
        <v>0.18664731012007993</v>
      </c>
      <c r="F68" s="1">
        <f>Tableau1[[#This Row],[Prix Action]]*Tableau1[[#This Row],[Normal(D1)]]-$C$2*EXP(-$A$2*$B$2)*Tableau1[[#This Row],[Normal(D2)]]</f>
        <v>14.492732979341916</v>
      </c>
      <c r="G68" s="1">
        <f xml:space="preserve"> Tableau1[[#This Row],[Prix option]] - 0.5 * (-50) * (Tableau1[[#This Row],[Prix Action]] - $C$2)</f>
        <v>-885.50726702065811</v>
      </c>
      <c r="H68" s="8">
        <f>Tableau1[[#This Row],[Prix option]]-Tableau1[[#This Row],[D1]]*Tableau1[[#This Row],[Prix Action]]</f>
        <v>13.873149166251745</v>
      </c>
      <c r="I68" s="9">
        <f t="shared" si="3"/>
        <v>27.072022554081965</v>
      </c>
    </row>
    <row r="69" spans="1:9" x14ac:dyDescent="0.3">
      <c r="A69">
        <v>65</v>
      </c>
      <c r="B69">
        <f t="shared" ref="B69:B100" si="4" xml:space="preserve"> (LN($A69/$C$2) + ($A$2 + ($E$2^2)/2) * $B$2) / ($E$2 * SQRT($B$2))</f>
        <v>2.690787100838421E-2</v>
      </c>
      <c r="C69">
        <f>Tableau1[[#This Row],[D1]]-$E$2*SQRT($B$2)</f>
        <v>-0.87309212899161581</v>
      </c>
      <c r="D69">
        <f>NORMSDIST(Tableau1[[#This Row],[D1]])</f>
        <v>0.51073339218258107</v>
      </c>
      <c r="E69">
        <f>NORMSDIST(Tableau1[[#This Row],[D2]])</f>
        <v>0.19130643186673466</v>
      </c>
      <c r="F69" s="1">
        <f>Tableau1[[#This Row],[Prix Action]]*Tableau1[[#This Row],[Normal(D1)]]-$C$2*EXP(-$A$2*$B$2)*Tableau1[[#This Row],[Normal(D2)]]</f>
        <v>15.00003978307986</v>
      </c>
      <c r="G69" s="1">
        <f xml:space="preserve"> Tableau1[[#This Row],[Prix option]] - 0.5 * (-50) * (Tableau1[[#This Row],[Prix Action]] - $C$2)</f>
        <v>-859.99996021692016</v>
      </c>
      <c r="H69" s="8">
        <f>Tableau1[[#This Row],[Prix option]]-Tableau1[[#This Row],[D1]]*Tableau1[[#This Row],[Prix Action]]</f>
        <v>13.251028167534887</v>
      </c>
      <c r="I69" s="9">
        <f t="shared" ref="I69:I100" si="5">$F70-$F69-(H70*$A70-$H69*$A69)</f>
        <v>29.00139794999108</v>
      </c>
    </row>
    <row r="70" spans="1:9" x14ac:dyDescent="0.3">
      <c r="A70">
        <v>66</v>
      </c>
      <c r="B70">
        <f t="shared" si="4"/>
        <v>4.3871728931482473E-2</v>
      </c>
      <c r="C70">
        <f>Tableau1[[#This Row],[D1]]-$E$2*SQRT($B$2)</f>
        <v>-0.85612827106851752</v>
      </c>
      <c r="D70">
        <f>NORMSDIST(Tableau1[[#This Row],[D1]])</f>
        <v>0.51749667468009508</v>
      </c>
      <c r="E70">
        <f>NORMSDIST(Tableau1[[#This Row],[D2]])</f>
        <v>0.19596341628039707</v>
      </c>
      <c r="F70" s="1">
        <f>Tableau1[[#This Row],[Prix Action]]*Tableau1[[#This Row],[Normal(D1)]]-$C$2*EXP(-$A$2*$B$2)*Tableau1[[#This Row],[Normal(D2)]]</f>
        <v>15.514163759726681</v>
      </c>
      <c r="G70" s="1">
        <f xml:space="preserve"> Tableau1[[#This Row],[Prix option]] - 0.5 * (-50) * (Tableau1[[#This Row],[Prix Action]] - $C$2)</f>
        <v>-834.48583624027333</v>
      </c>
      <c r="H70" s="8">
        <f>Tableau1[[#This Row],[Prix option]]-Tableau1[[#This Row],[D1]]*Tableau1[[#This Row],[Prix Action]]</f>
        <v>12.618629650248838</v>
      </c>
      <c r="I70" s="9">
        <f t="shared" si="5"/>
        <v>30.951333711272326</v>
      </c>
    </row>
    <row r="71" spans="1:9" x14ac:dyDescent="0.3">
      <c r="A71">
        <v>67</v>
      </c>
      <c r="B71">
        <f t="shared" si="4"/>
        <v>6.0580481558749746E-2</v>
      </c>
      <c r="C71">
        <f>Tableau1[[#This Row],[D1]]-$E$2*SQRT($B$2)</f>
        <v>-0.83941951844125029</v>
      </c>
      <c r="D71">
        <f>NORMSDIST(Tableau1[[#This Row],[D1]])</f>
        <v>0.52415334078577547</v>
      </c>
      <c r="E71">
        <f>NORMSDIST(Tableau1[[#This Row],[D2]])</f>
        <v>0.20061696734507517</v>
      </c>
      <c r="F71" s="1">
        <f>Tableau1[[#This Row],[Prix Action]]*Tableau1[[#This Row],[Normal(D1)]]-$C$2*EXP(-$A$2*$B$2)*Tableau1[[#This Row],[Normal(D2)]]</f>
        <v>16.034997593373514</v>
      </c>
      <c r="G71" s="1">
        <f xml:space="preserve"> Tableau1[[#This Row],[Prix option]] - 0.5 * (-50) * (Tableau1[[#This Row],[Prix Action]] - $C$2)</f>
        <v>-808.96500240662647</v>
      </c>
      <c r="H71" s="8">
        <f>Tableau1[[#This Row],[Prix option]]-Tableau1[[#This Row],[D1]]*Tableau1[[#This Row],[Prix Action]]</f>
        <v>11.976105328937281</v>
      </c>
      <c r="I71" s="9">
        <f t="shared" si="5"/>
        <v>32.921654554960995</v>
      </c>
    </row>
    <row r="72" spans="1:9" x14ac:dyDescent="0.3">
      <c r="A72">
        <v>68</v>
      </c>
      <c r="B72">
        <f t="shared" si="4"/>
        <v>7.7041687986683774E-2</v>
      </c>
      <c r="C72">
        <f>Tableau1[[#This Row],[D1]]-$E$2*SQRT($B$2)</f>
        <v>-0.82295831201331626</v>
      </c>
      <c r="D72">
        <f>NORMSDIST(Tableau1[[#This Row],[D1]])</f>
        <v>0.53070480935941367</v>
      </c>
      <c r="E72">
        <f>NORMSDIST(Tableau1[[#This Row],[D2]])</f>
        <v>0.2052658502595377</v>
      </c>
      <c r="F72" s="1">
        <f>Tableau1[[#This Row],[Prix Action]]*Tableau1[[#This Row],[Normal(D1)]]-$C$2*EXP(-$A$2*$B$2)*Tableau1[[#This Row],[Normal(D2)]]</f>
        <v>16.56243537523715</v>
      </c>
      <c r="G72" s="1">
        <f xml:space="preserve"> Tableau1[[#This Row],[Prix option]] - 0.5 * (-50) * (Tableau1[[#This Row],[Prix Action]] - $C$2)</f>
        <v>-783.4375646247629</v>
      </c>
      <c r="H72" s="8">
        <f>Tableau1[[#This Row],[Prix option]]-Tableau1[[#This Row],[D1]]*Tableau1[[#This Row],[Prix Action]]</f>
        <v>11.323600592142654</v>
      </c>
      <c r="I72" s="9">
        <f t="shared" si="5"/>
        <v>34.912191794793571</v>
      </c>
    </row>
    <row r="73" spans="1:9" x14ac:dyDescent="0.3">
      <c r="A73">
        <v>69</v>
      </c>
      <c r="B73">
        <f t="shared" si="4"/>
        <v>9.3262576232408828E-2</v>
      </c>
      <c r="C73">
        <f>Tableau1[[#This Row],[D1]]-$E$2*SQRT($B$2)</f>
        <v>-0.80673742376759117</v>
      </c>
      <c r="D73">
        <f>NORMSDIST(Tableau1[[#This Row],[D1]])</f>
        <v>0.53715251884922721</v>
      </c>
      <c r="E73">
        <f>NORMSDIST(Tableau1[[#This Row],[D2]])</f>
        <v>0.2099088890728526</v>
      </c>
      <c r="F73" s="1">
        <f>Tableau1[[#This Row],[Prix Action]]*Tableau1[[#This Row],[Normal(D1)]]-$C$2*EXP(-$A$2*$B$2)*Tableau1[[#This Row],[Normal(D2)]]</f>
        <v>17.096372625561298</v>
      </c>
      <c r="G73" s="1">
        <f xml:space="preserve"> Tableau1[[#This Row],[Prix option]] - 0.5 * (-50) * (Tableau1[[#This Row],[Prix Action]] - $C$2)</f>
        <v>-757.90362737443866</v>
      </c>
      <c r="H73" s="8">
        <f>Tableau1[[#This Row],[Prix option]]-Tableau1[[#This Row],[D1]]*Tableau1[[#This Row],[Prix Action]]</f>
        <v>10.661254865525088</v>
      </c>
      <c r="I73" s="9">
        <f t="shared" si="5"/>
        <v>36.92278285643885</v>
      </c>
    </row>
    <row r="74" spans="1:9" x14ac:dyDescent="0.3">
      <c r="A74">
        <v>70</v>
      </c>
      <c r="B74">
        <f t="shared" si="4"/>
        <v>0.1092500622902973</v>
      </c>
      <c r="C74">
        <f>Tableau1[[#This Row],[D1]]-$E$2*SQRT($B$2)</f>
        <v>-0.7907499377097027</v>
      </c>
      <c r="D74">
        <f>NORMSDIST(Tableau1[[#This Row],[D1]])</f>
        <v>0.54349792302987088</v>
      </c>
      <c r="E74">
        <f>NORMSDIST(Tableau1[[#This Row],[D2]])</f>
        <v>0.21454496439451431</v>
      </c>
      <c r="F74" s="1">
        <f>Tableau1[[#This Row],[Prix Action]]*Tableau1[[#This Row],[Normal(D1)]]-$C$2*EXP(-$A$2*$B$2)*Tableau1[[#This Row],[Normal(D2)]]</f>
        <v>17.636706311038953</v>
      </c>
      <c r="G74" s="1">
        <f xml:space="preserve"> Tableau1[[#This Row],[Prix option]] - 0.5 * (-50) * (Tableau1[[#This Row],[Prix Action]] - $C$2)</f>
        <v>-732.36329368896099</v>
      </c>
      <c r="H74" s="8">
        <f>Tableau1[[#This Row],[Prix option]]-Tableau1[[#This Row],[D1]]*Tableau1[[#This Row],[Prix Action]]</f>
        <v>9.989201950718142</v>
      </c>
      <c r="I74" s="9">
        <f t="shared" si="5"/>
        <v>38.953270832731818</v>
      </c>
    </row>
    <row r="75" spans="1:9" x14ac:dyDescent="0.3">
      <c r="A75">
        <v>71</v>
      </c>
      <c r="B75">
        <f t="shared" si="4"/>
        <v>0.12501076783691556</v>
      </c>
      <c r="C75">
        <f>Tableau1[[#This Row],[D1]]-$E$2*SQRT($B$2)</f>
        <v>-0.77498923216308446</v>
      </c>
      <c r="D75">
        <f>NORMSDIST(Tableau1[[#This Row],[D1]])</f>
        <v>0.54974248714290241</v>
      </c>
      <c r="E75">
        <f>NORMSDIST(Tableau1[[#This Row],[D2]])</f>
        <v>0.21917301117879176</v>
      </c>
      <c r="F75" s="1">
        <f>Tableau1[[#This Row],[Prix Action]]*Tableau1[[#This Row],[Normal(D1)]]-$C$2*EXP(-$A$2*$B$2)*Tableau1[[#This Row],[Normal(D2)]]</f>
        <v>18.183334858177005</v>
      </c>
      <c r="G75" s="1">
        <f xml:space="preserve"> Tableau1[[#This Row],[Prix option]] - 0.5 * (-50) * (Tableau1[[#This Row],[Prix Action]] - $C$2)</f>
        <v>-706.81666514182302</v>
      </c>
      <c r="H75" s="8">
        <f>Tableau1[[#This Row],[Prix option]]-Tableau1[[#This Row],[D1]]*Tableau1[[#This Row],[Prix Action]]</f>
        <v>9.3075703417560014</v>
      </c>
      <c r="I75" s="9">
        <f t="shared" si="5"/>
        <v>41.003504075424956</v>
      </c>
    </row>
    <row r="76" spans="1:9" x14ac:dyDescent="0.3">
      <c r="A76">
        <v>72</v>
      </c>
      <c r="B76">
        <f t="shared" si="4"/>
        <v>0.14055103669773769</v>
      </c>
      <c r="C76">
        <f>Tableau1[[#This Row],[D1]]-$E$2*SQRT($B$2)</f>
        <v>-0.7594489633022623</v>
      </c>
      <c r="D76">
        <f>NORMSDIST(Tableau1[[#This Row],[D1]])</f>
        <v>0.55588768440502589</v>
      </c>
      <c r="E76">
        <f>NORMSDIST(Tableau1[[#This Row],[D2]])</f>
        <v>0.22379201658261896</v>
      </c>
      <c r="F76" s="1">
        <f>Tableau1[[#This Row],[Prix Action]]*Tableau1[[#This Row],[Normal(D1)]]-$C$2*EXP(-$A$2*$B$2)*Tableau1[[#This Row],[Normal(D2)]]</f>
        <v>18.736158162987977</v>
      </c>
      <c r="G76" s="1">
        <f xml:space="preserve"> Tableau1[[#This Row],[Prix option]] - 0.5 * (-50) * (Tableau1[[#This Row],[Prix Action]] - $C$2)</f>
        <v>-681.26384183701202</v>
      </c>
      <c r="H76" s="8">
        <f>Tableau1[[#This Row],[Prix option]]-Tableau1[[#This Row],[D1]]*Tableau1[[#This Row],[Prix Action]]</f>
        <v>8.6164835207508634</v>
      </c>
      <c r="I76" s="9">
        <f t="shared" si="5"/>
        <v>43.07333582026191</v>
      </c>
    </row>
    <row r="77" spans="1:9" x14ac:dyDescent="0.3">
      <c r="A77">
        <v>73</v>
      </c>
      <c r="B77">
        <f t="shared" si="4"/>
        <v>0.15587695017811085</v>
      </c>
      <c r="C77">
        <f>Tableau1[[#This Row],[D1]]-$E$2*SQRT($B$2)</f>
        <v>-0.74412304982188915</v>
      </c>
      <c r="D77">
        <f>NORMSDIST(Tableau1[[#This Row],[D1]])</f>
        <v>0.56193499285244275</v>
      </c>
      <c r="E77">
        <f>NORMSDIST(Tableau1[[#This Row],[D2]])</f>
        <v>0.2284010178960921</v>
      </c>
      <c r="F77" s="1">
        <f>Tableau1[[#This Row],[Prix Action]]*Tableau1[[#This Row],[Normal(D1)]]-$C$2*EXP(-$A$2*$B$2)*Tableau1[[#This Row],[Normal(D2)]]</f>
        <v>19.295077597360624</v>
      </c>
      <c r="G77" s="1">
        <f xml:space="preserve"> Tableau1[[#This Row],[Prix option]] - 0.5 * (-50) * (Tableau1[[#This Row],[Prix Action]] - $C$2)</f>
        <v>-655.70492240263934</v>
      </c>
      <c r="H77" s="8">
        <f>Tableau1[[#This Row],[Prix option]]-Tableau1[[#This Row],[D1]]*Tableau1[[#This Row],[Prix Action]]</f>
        <v>7.9160602343585325</v>
      </c>
      <c r="I77" s="9">
        <f t="shared" si="5"/>
        <v>45.162623842534401</v>
      </c>
    </row>
    <row r="78" spans="1:9" x14ac:dyDescent="0.3">
      <c r="A78">
        <v>74</v>
      </c>
      <c r="B78">
        <f t="shared" si="4"/>
        <v>0.17099434135119823</v>
      </c>
      <c r="C78">
        <f>Tableau1[[#This Row],[D1]]-$E$2*SQRT($B$2)</f>
        <v>-0.72900565864880185</v>
      </c>
      <c r="D78">
        <f>NORMSDIST(Tableau1[[#This Row],[D1]])</f>
        <v>0.56788589249238131</v>
      </c>
      <c r="E78">
        <f>NORMSDIST(Tableau1[[#This Row],[D2]])</f>
        <v>0.23299910054442291</v>
      </c>
      <c r="F78" s="1">
        <f>Tableau1[[#This Row],[Prix Action]]*Tableau1[[#This Row],[Normal(D1)]]-$C$2*EXP(-$A$2*$B$2)*Tableau1[[#This Row],[Normal(D2)]]</f>
        <v>19.859996012430678</v>
      </c>
      <c r="G78" s="1">
        <f xml:space="preserve"> Tableau1[[#This Row],[Prix option]] - 0.5 * (-50) * (Tableau1[[#This Row],[Prix Action]] - $C$2)</f>
        <v>-630.14000398756934</v>
      </c>
      <c r="H78" s="8">
        <f>Tableau1[[#This Row],[Prix option]]-Tableau1[[#This Row],[D1]]*Tableau1[[#This Row],[Prix Action]]</f>
        <v>7.2064147524420079</v>
      </c>
      <c r="I78" s="9">
        <f t="shared" si="5"/>
        <v>47.271230140466763</v>
      </c>
    </row>
    <row r="79" spans="1:9" x14ac:dyDescent="0.3">
      <c r="A79">
        <v>75</v>
      </c>
      <c r="B79">
        <f t="shared" si="4"/>
        <v>0.18590880838691012</v>
      </c>
      <c r="C79">
        <f>Tableau1[[#This Row],[D1]]-$E$2*SQRT($B$2)</f>
        <v>-0.71409119161308987</v>
      </c>
      <c r="D79">
        <f>NORMSDIST(Tableau1[[#This Row],[D1]])</f>
        <v>0.5737418627353742</v>
      </c>
      <c r="E79">
        <f>NORMSDIST(Tableau1[[#This Row],[D2]])</f>
        <v>0.23758539616002403</v>
      </c>
      <c r="F79" s="1">
        <f>Tableau1[[#This Row],[Prix Action]]*Tableau1[[#This Row],[Normal(D1)]]-$C$2*EXP(-$A$2*$B$2)*Tableau1[[#This Row],[Normal(D2)]]</f>
        <v>20.430817739245683</v>
      </c>
      <c r="G79" s="1">
        <f xml:space="preserve"> Tableau1[[#This Row],[Prix option]] - 0.5 * (-50) * (Tableau1[[#This Row],[Prix Action]] - $C$2)</f>
        <v>-604.56918226075436</v>
      </c>
      <c r="H79" s="8">
        <f>Tableau1[[#This Row],[Prix option]]-Tableau1[[#This Row],[D1]]*Tableau1[[#This Row],[Prix Action]]</f>
        <v>6.4876571102274241</v>
      </c>
      <c r="I79" s="9">
        <f t="shared" si="5"/>
        <v>49.399020644088324</v>
      </c>
    </row>
    <row r="80" spans="1:9" x14ac:dyDescent="0.3">
      <c r="A80">
        <v>76</v>
      </c>
      <c r="B80">
        <f t="shared" si="4"/>
        <v>0.20062572699804412</v>
      </c>
      <c r="C80">
        <f>Tableau1[[#This Row],[D1]]-$E$2*SQRT($B$2)</f>
        <v>-0.69937427300195587</v>
      </c>
      <c r="D80">
        <f>NORMSDIST(Tableau1[[#This Row],[D1]])</f>
        <v>0.57950438008412264</v>
      </c>
      <c r="E80">
        <f>NORMSDIST(Tableau1[[#This Row],[D2]])</f>
        <v>0.24215908072326126</v>
      </c>
      <c r="F80" s="1">
        <f>Tableau1[[#This Row],[Prix Action]]*Tableau1[[#This Row],[Normal(D1)]]-$C$2*EXP(-$A$2*$B$2)*Tableau1[[#This Row],[Normal(D2)]]</f>
        <v>21.007448586992343</v>
      </c>
      <c r="G80" s="1">
        <f xml:space="preserve"> Tableau1[[#This Row],[Prix option]] - 0.5 * (-50) * (Tableau1[[#This Row],[Prix Action]] - $C$2)</f>
        <v>-578.99255141300762</v>
      </c>
      <c r="H80" s="8">
        <f>Tableau1[[#This Row],[Prix option]]-Tableau1[[#This Row],[D1]]*Tableau1[[#This Row],[Prix Action]]</f>
        <v>5.7598933351409887</v>
      </c>
      <c r="I80" s="9">
        <f t="shared" si="5"/>
        <v>51.545864947430005</v>
      </c>
    </row>
    <row r="81" spans="1:9" x14ac:dyDescent="0.3">
      <c r="A81">
        <v>77</v>
      </c>
      <c r="B81">
        <f t="shared" si="4"/>
        <v>0.21515026207288054</v>
      </c>
      <c r="C81">
        <f>Tableau1[[#This Row],[D1]]-$E$2*SQRT($B$2)</f>
        <v>-0.68484973792711945</v>
      </c>
      <c r="D81">
        <f>NORMSDIST(Tableau1[[#This Row],[D1]])</f>
        <v>0.58517491605686511</v>
      </c>
      <c r="E81">
        <f>NORMSDIST(Tableau1[[#This Row],[D2]])</f>
        <v>0.24671937277030054</v>
      </c>
      <c r="F81" s="1">
        <f>Tableau1[[#This Row],[Prix Action]]*Tableau1[[#This Row],[Normal(D1)]]-$C$2*EXP(-$A$2*$B$2)*Tableau1[[#This Row],[Normal(D2)]]</f>
        <v>21.589795839031598</v>
      </c>
      <c r="G81" s="1">
        <f xml:space="preserve"> Tableau1[[#This Row],[Prix option]] - 0.5 * (-50) * (Tableau1[[#This Row],[Prix Action]] - $C$2)</f>
        <v>-553.41020416096842</v>
      </c>
      <c r="H81" s="8">
        <f>Tableau1[[#This Row],[Prix option]]-Tableau1[[#This Row],[D1]]*Tableau1[[#This Row],[Prix Action]]</f>
        <v>5.023225659419797</v>
      </c>
      <c r="I81" s="9">
        <f t="shared" si="5"/>
        <v>53.71163606204982</v>
      </c>
    </row>
    <row r="82" spans="1:9" x14ac:dyDescent="0.3">
      <c r="A82">
        <v>78</v>
      </c>
      <c r="B82">
        <f t="shared" si="4"/>
        <v>0.22948737855722268</v>
      </c>
      <c r="C82">
        <f>Tableau1[[#This Row],[D1]]-$E$2*SQRT($B$2)</f>
        <v>-0.67051262144277735</v>
      </c>
      <c r="D82">
        <f>NORMSDIST(Tableau1[[#This Row],[D1]])</f>
        <v>0.59075493532505274</v>
      </c>
      <c r="E82">
        <f>NORMSDIST(Tableau1[[#This Row],[D2]])</f>
        <v>0.25126553166638427</v>
      </c>
      <c r="F82" s="1">
        <f>Tableau1[[#This Row],[Prix Action]]*Tableau1[[#This Row],[Normal(D1)]]-$C$2*EXP(-$A$2*$B$2)*Tableau1[[#This Row],[Normal(D2)]]</f>
        <v>22.177768246966046</v>
      </c>
      <c r="G82" s="1">
        <f xml:space="preserve"> Tableau1[[#This Row],[Prix option]] - 0.5 * (-50) * (Tableau1[[#This Row],[Prix Action]] - $C$2)</f>
        <v>-527.82223175303398</v>
      </c>
      <c r="H82" s="8">
        <f>Tableau1[[#This Row],[Prix option]]-Tableau1[[#This Row],[D1]]*Tableau1[[#This Row],[Prix Action]]</f>
        <v>4.2777527195026792</v>
      </c>
      <c r="I82" s="9">
        <f t="shared" si="5"/>
        <v>55.896210190150953</v>
      </c>
    </row>
    <row r="83" spans="1:9" x14ac:dyDescent="0.3">
      <c r="A83">
        <v>79</v>
      </c>
      <c r="B83">
        <f t="shared" si="4"/>
        <v>0.24364185164325575</v>
      </c>
      <c r="C83">
        <f>Tableau1[[#This Row],[D1]]-$E$2*SQRT($B$2)</f>
        <v>-0.65635814835674422</v>
      </c>
      <c r="D83">
        <f>NORMSDIST(Tableau1[[#This Row],[D1]])</f>
        <v>0.59624589404685857</v>
      </c>
      <c r="E83">
        <f>NORMSDIST(Tableau1[[#This Row],[D2]])</f>
        <v>0.25579685594281482</v>
      </c>
      <c r="F83" s="1">
        <f>Tableau1[[#This Row],[Prix Action]]*Tableau1[[#This Row],[Normal(D1)]]-$C$2*EXP(-$A$2*$B$2)*Tableau1[[#This Row],[Normal(D2)]]</f>
        <v>22.771276022944246</v>
      </c>
      <c r="G83" s="1">
        <f xml:space="preserve"> Tableau1[[#This Row],[Prix option]] - 0.5 * (-50) * (Tableau1[[#This Row],[Prix Action]] - $C$2)</f>
        <v>-502.22872397705578</v>
      </c>
      <c r="H83" s="8">
        <f>Tableau1[[#This Row],[Prix option]]-Tableau1[[#This Row],[D1]]*Tableau1[[#This Row],[Prix Action]]</f>
        <v>3.523569743127041</v>
      </c>
      <c r="I83" s="9">
        <f t="shared" si="5"/>
        <v>58.099466515612185</v>
      </c>
    </row>
    <row r="84" spans="1:9" x14ac:dyDescent="0.3">
      <c r="A84">
        <v>80</v>
      </c>
      <c r="B84">
        <f t="shared" si="4"/>
        <v>0.2576182763175448</v>
      </c>
      <c r="C84">
        <f>Tableau1[[#This Row],[D1]]-$E$2*SQRT($B$2)</f>
        <v>-0.64238172368245516</v>
      </c>
      <c r="D84">
        <f>NORMSDIST(Tableau1[[#This Row],[D1]])</f>
        <v>0.60164923837962192</v>
      </c>
      <c r="E84">
        <f>NORMSDIST(Tableau1[[#This Row],[D2]])</f>
        <v>0.26031268169587324</v>
      </c>
      <c r="F84" s="1">
        <f>Tableau1[[#This Row],[Prix Action]]*Tableau1[[#This Row],[Normal(D1)]]-$C$2*EXP(-$A$2*$B$2)*Tableau1[[#This Row],[Normal(D2)]]</f>
        <v>23.370230830389449</v>
      </c>
      <c r="G84" s="1">
        <f xml:space="preserve"> Tableau1[[#This Row],[Prix option]] - 0.5 * (-50) * (Tableau1[[#This Row],[Prix Action]] - $C$2)</f>
        <v>-476.62976916961054</v>
      </c>
      <c r="H84" s="8">
        <f>Tableau1[[#This Row],[Prix option]]-Tableau1[[#This Row],[D1]]*Tableau1[[#This Row],[Prix Action]]</f>
        <v>2.7607687249858657</v>
      </c>
      <c r="I84" s="9">
        <f t="shared" si="5"/>
        <v>60.32128701147839</v>
      </c>
    </row>
    <row r="85" spans="1:9" x14ac:dyDescent="0.3">
      <c r="A85">
        <v>81</v>
      </c>
      <c r="B85">
        <f t="shared" si="4"/>
        <v>0.27142107631594165</v>
      </c>
      <c r="C85">
        <f>Tableau1[[#This Row],[D1]]-$E$2*SQRT($B$2)</f>
        <v>-0.62857892368405843</v>
      </c>
      <c r="D85">
        <f>NORMSDIST(Tableau1[[#This Row],[D1]])</f>
        <v>0.60696640315576156</v>
      </c>
      <c r="E85">
        <f>NORMSDIST(Tableau1[[#This Row],[D2]])</f>
        <v>0.26481238104587346</v>
      </c>
      <c r="F85" s="1">
        <f>Tableau1[[#This Row],[Prix Action]]*Tableau1[[#This Row],[Normal(D1)]]-$C$2*EXP(-$A$2*$B$2)*Tableau1[[#This Row],[Normal(D2)]]</f>
        <v>23.974545773323683</v>
      </c>
      <c r="G85" s="1">
        <f xml:space="preserve"> Tableau1[[#This Row],[Prix option]] - 0.5 * (-50) * (Tableau1[[#This Row],[Prix Action]] - $C$2)</f>
        <v>-451.02545422667629</v>
      </c>
      <c r="H85" s="8">
        <f>Tableau1[[#This Row],[Prix option]]-Tableau1[[#This Row],[D1]]*Tableau1[[#This Row],[Prix Action]]</f>
        <v>1.9894385917324087</v>
      </c>
      <c r="I85" s="9">
        <f t="shared" si="5"/>
        <v>62.56155626252702</v>
      </c>
    </row>
    <row r="86" spans="1:9" x14ac:dyDescent="0.3">
      <c r="A86">
        <v>82</v>
      </c>
      <c r="B86">
        <f t="shared" si="4"/>
        <v>0.2850545125290686</v>
      </c>
      <c r="C86">
        <f>Tableau1[[#This Row],[D1]]-$E$2*SQRT($B$2)</f>
        <v>-0.61494548747093147</v>
      </c>
      <c r="D86">
        <f>NORMSDIST(Tableau1[[#This Row],[D1]])</f>
        <v>0.61219881070800053</v>
      </c>
      <c r="E86">
        <f>NORMSDIST(Tableau1[[#This Row],[D2]])</f>
        <v>0.2692953606545338</v>
      </c>
      <c r="F86" s="1">
        <f>Tableau1[[#This Row],[Prix Action]]*Tableau1[[#This Row],[Normal(D1)]]-$C$2*EXP(-$A$2*$B$2)*Tableau1[[#This Row],[Normal(D2)]]</f>
        <v>24.584135384443602</v>
      </c>
      <c r="G86" s="1">
        <f xml:space="preserve"> Tableau1[[#This Row],[Prix option]] - 0.5 * (-50) * (Tableau1[[#This Row],[Prix Action]] - $C$2)</f>
        <v>-425.41586461555642</v>
      </c>
      <c r="H86" s="8">
        <f>Tableau1[[#This Row],[Prix option]]-Tableau1[[#This Row],[D1]]*Tableau1[[#This Row],[Prix Action]]</f>
        <v>1.2096653570599756</v>
      </c>
      <c r="I86" s="9">
        <f t="shared" si="5"/>
        <v>64.820161301708566</v>
      </c>
    </row>
    <row r="87" spans="1:9" x14ac:dyDescent="0.3">
      <c r="A87">
        <v>83</v>
      </c>
      <c r="B87">
        <f t="shared" si="4"/>
        <v>0.2985226908983406</v>
      </c>
      <c r="C87">
        <f>Tableau1[[#This Row],[D1]]-$E$2*SQRT($B$2)</f>
        <v>-0.60147730910165942</v>
      </c>
      <c r="D87">
        <f>NORMSDIST(Tableau1[[#This Row],[D1]])</f>
        <v>0.61734786983094514</v>
      </c>
      <c r="E87">
        <f>NORMSDIST(Tableau1[[#This Row],[D2]])</f>
        <v>0.27376106029884739</v>
      </c>
      <c r="F87" s="1">
        <f>Tableau1[[#This Row],[Prix Action]]*Tableau1[[#This Row],[Normal(D1)]]-$C$2*EXP(-$A$2*$B$2)*Tableau1[[#This Row],[Normal(D2)]]</f>
        <v>25.198915612090662</v>
      </c>
      <c r="G87" s="1">
        <f xml:space="preserve"> Tableau1[[#This Row],[Prix option]] - 0.5 * (-50) * (Tableau1[[#This Row],[Prix Action]] - $C$2)</f>
        <v>-399.80108438790933</v>
      </c>
      <c r="H87" s="8">
        <f>Tableau1[[#This Row],[Prix option]]-Tableau1[[#This Row],[D1]]*Tableau1[[#This Row],[Prix Action]]</f>
        <v>0.42153226752839146</v>
      </c>
      <c r="I87" s="9">
        <f t="shared" si="5"/>
        <v>67.096991459274577</v>
      </c>
    </row>
    <row r="88" spans="1:9" x14ac:dyDescent="0.3">
      <c r="A88">
        <v>84</v>
      </c>
      <c r="B88">
        <f t="shared" si="4"/>
        <v>0.31182956983913573</v>
      </c>
      <c r="C88">
        <f>Tableau1[[#This Row],[D1]]-$E$2*SQRT($B$2)</f>
        <v>-0.58817043016086434</v>
      </c>
      <c r="D88">
        <f>NORMSDIST(Tableau1[[#This Row],[D1]])</f>
        <v>0.62241497486714747</v>
      </c>
      <c r="E88">
        <f>NORMSDIST(Tableau1[[#This Row],[D2]])</f>
        <v>0.2782089514996321</v>
      </c>
      <c r="F88" s="1">
        <f>Tableau1[[#This Row],[Prix Action]]*Tableau1[[#This Row],[Normal(D1)]]-$C$2*EXP(-$A$2*$B$2)*Tableau1[[#This Row],[Normal(D2)]]</f>
        <v>25.81880380624618</v>
      </c>
      <c r="G88" s="1">
        <f xml:space="preserve"> Tableau1[[#This Row],[Prix option]] - 0.5 * (-50) * (Tableau1[[#This Row],[Prix Action]] - $C$2)</f>
        <v>-374.18119619375381</v>
      </c>
      <c r="H88" s="8">
        <f>Tableau1[[#This Row],[Prix option]]-Tableau1[[#This Row],[D1]]*Tableau1[[#This Row],[Prix Action]]</f>
        <v>-0.374880060241221</v>
      </c>
      <c r="I88" s="9">
        <f t="shared" si="5"/>
        <v>69.391938223620414</v>
      </c>
    </row>
    <row r="89" spans="1:9" x14ac:dyDescent="0.3">
      <c r="A89">
        <v>85</v>
      </c>
      <c r="B89">
        <f t="shared" si="4"/>
        <v>0.32497896722469449</v>
      </c>
      <c r="C89">
        <f>Tableau1[[#This Row],[D1]]-$E$2*SQRT($B$2)</f>
        <v>-0.57502103277530559</v>
      </c>
      <c r="D89">
        <f>NORMSDIST(Tableau1[[#This Row],[D1]])</f>
        <v>0.62740150490678515</v>
      </c>
      <c r="E89">
        <f>NORMSDIST(Tableau1[[#This Row],[D2]])</f>
        <v>0.28263853620296053</v>
      </c>
      <c r="F89" s="1">
        <f>Tableau1[[#This Row],[Prix Action]]*Tableau1[[#This Row],[Normal(D1)]]-$C$2*EXP(-$A$2*$B$2)*Tableau1[[#This Row],[Normal(D2)]]</f>
        <v>26.4437187036701</v>
      </c>
      <c r="G89" s="1">
        <f xml:space="preserve"> Tableau1[[#This Row],[Prix option]] - 0.5 * (-50) * (Tableau1[[#This Row],[Prix Action]] - $C$2)</f>
        <v>-348.55628129632987</v>
      </c>
      <c r="H89" s="8">
        <f>Tableau1[[#This Row],[Prix option]]-Tableau1[[#This Row],[D1]]*Tableau1[[#This Row],[Prix Action]]</f>
        <v>-1.1794935104289301</v>
      </c>
      <c r="I89" s="9">
        <f t="shared" si="5"/>
        <v>71.704895112855013</v>
      </c>
    </row>
    <row r="90" spans="1:9" x14ac:dyDescent="0.3">
      <c r="A90">
        <v>86</v>
      </c>
      <c r="B90">
        <f t="shared" si="4"/>
        <v>0.33797456696157374</v>
      </c>
      <c r="C90">
        <f>Tableau1[[#This Row],[D1]]-$E$2*SQRT($B$2)</f>
        <v>-0.56202543303842623</v>
      </c>
      <c r="D90">
        <f>NORMSDIST(Tableau1[[#This Row],[D1]])</f>
        <v>0.6323088230909979</v>
      </c>
      <c r="E90">
        <f>NORMSDIST(Tableau1[[#This Row],[D2]])</f>
        <v>0.28704934551268579</v>
      </c>
      <c r="F90" s="1">
        <f>Tableau1[[#This Row],[Prix Action]]*Tableau1[[#This Row],[Normal(D1)]]-$C$2*EXP(-$A$2*$B$2)*Tableau1[[#This Row],[Normal(D2)]]</f>
        <v>27.073580412291943</v>
      </c>
      <c r="G90" s="1">
        <f xml:space="preserve"> Tableau1[[#This Row],[Prix option]] - 0.5 * (-50) * (Tableau1[[#This Row],[Prix Action]] - $C$2)</f>
        <v>-322.92641958770804</v>
      </c>
      <c r="H90" s="8">
        <f>Tableau1[[#This Row],[Prix option]]-Tableau1[[#This Row],[D1]]*Tableau1[[#This Row],[Prix Action]]</f>
        <v>-1.992232346403398</v>
      </c>
      <c r="I90" s="9">
        <f t="shared" si="5"/>
        <v>74.035757556228944</v>
      </c>
    </row>
    <row r="91" spans="1:9" x14ac:dyDescent="0.3">
      <c r="A91">
        <v>87</v>
      </c>
      <c r="B91">
        <f t="shared" si="4"/>
        <v>0.3508199251849915</v>
      </c>
      <c r="C91">
        <f>Tableau1[[#This Row],[D1]]-$E$2*SQRT($B$2)</f>
        <v>-0.54918007481500852</v>
      </c>
      <c r="D91">
        <f>NORMSDIST(Tableau1[[#This Row],[D1]])</f>
        <v>0.63713827600976325</v>
      </c>
      <c r="E91">
        <f>NORMSDIST(Tableau1[[#This Row],[D2]])</f>
        <v>0.29144093847230701</v>
      </c>
      <c r="F91" s="1">
        <f>Tableau1[[#This Row],[Prix Action]]*Tableau1[[#This Row],[Normal(D1)]]-$C$2*EXP(-$A$2*$B$2)*Tableau1[[#This Row],[Normal(D2)]]</f>
        <v>27.708310394953344</v>
      </c>
      <c r="G91" s="1">
        <f xml:space="preserve"> Tableau1[[#This Row],[Prix option]] - 0.5 * (-50) * (Tableau1[[#This Row],[Prix Action]] - $C$2)</f>
        <v>-297.29168960504666</v>
      </c>
      <c r="H91" s="8">
        <f>Tableau1[[#This Row],[Prix option]]-Tableau1[[#This Row],[D1]]*Tableau1[[#This Row],[Prix Action]]</f>
        <v>-2.8130230961409168</v>
      </c>
      <c r="I91" s="9">
        <f t="shared" si="5"/>
        <v>76.384422784683807</v>
      </c>
    </row>
    <row r="92" spans="1:9" x14ac:dyDescent="0.3">
      <c r="A92">
        <v>88</v>
      </c>
      <c r="B92">
        <f t="shared" si="4"/>
        <v>0.36351847610012794</v>
      </c>
      <c r="C92">
        <f>Tableau1[[#This Row],[D1]]-$E$2*SQRT($B$2)</f>
        <v>-0.53648152389987214</v>
      </c>
      <c r="D92">
        <f>NORMSDIST(Tableau1[[#This Row],[D1]])</f>
        <v>0.64189119318594645</v>
      </c>
      <c r="E92">
        <f>NORMSDIST(Tableau1[[#This Row],[D2]])</f>
        <v>0.29581290089444962</v>
      </c>
      <c r="F92" s="1">
        <f>Tableau1[[#This Row],[Prix Action]]*Tableau1[[#This Row],[Normal(D1)]]-$C$2*EXP(-$A$2*$B$2)*Tableau1[[#This Row],[Normal(D2)]]</f>
        <v>28.347831452591883</v>
      </c>
      <c r="G92" s="1">
        <f xml:space="preserve"> Tableau1[[#This Row],[Prix option]] - 0.5 * (-50) * (Tableau1[[#This Row],[Prix Action]] - $C$2)</f>
        <v>-271.65216854740811</v>
      </c>
      <c r="H92" s="8">
        <f>Tableau1[[#This Row],[Prix option]]-Tableau1[[#This Row],[D1]]*Tableau1[[#This Row],[Prix Action]]</f>
        <v>-3.641794444219375</v>
      </c>
      <c r="I92" s="9">
        <f t="shared" si="5"/>
        <v>78.750789729699505</v>
      </c>
    </row>
    <row r="93" spans="1:9" x14ac:dyDescent="0.3">
      <c r="A93">
        <v>89</v>
      </c>
      <c r="B93">
        <f t="shared" si="4"/>
        <v>0.37607353749338723</v>
      </c>
      <c r="C93">
        <f>Tableau1[[#This Row],[D1]]-$E$2*SQRT($B$2)</f>
        <v>-0.52392646250661279</v>
      </c>
      <c r="D93">
        <f>NORMSDIST(Tableau1[[#This Row],[D1]])</f>
        <v>0.64656888663786749</v>
      </c>
      <c r="E93">
        <f>NORMSDIST(Tableau1[[#This Row],[D2]])</f>
        <v>0.30016484423626699</v>
      </c>
      <c r="F93" s="1">
        <f>Tableau1[[#This Row],[Prix Action]]*Tableau1[[#This Row],[Normal(D1)]]-$C$2*EXP(-$A$2*$B$2)*Tableau1[[#This Row],[Normal(D2)]]</f>
        <v>28.992067706949136</v>
      </c>
      <c r="G93" s="1">
        <f xml:space="preserve"> Tableau1[[#This Row],[Prix option]] - 0.5 * (-50) * (Tableau1[[#This Row],[Prix Action]] - $C$2)</f>
        <v>-246.00793229305086</v>
      </c>
      <c r="H93" s="8">
        <f>Tableau1[[#This Row],[Prix option]]-Tableau1[[#This Row],[D1]]*Tableau1[[#This Row],[Prix Action]]</f>
        <v>-4.4784771299623287</v>
      </c>
      <c r="I93" s="9">
        <f t="shared" si="5"/>
        <v>81.134758929873129</v>
      </c>
    </row>
    <row r="94" spans="1:9" x14ac:dyDescent="0.3">
      <c r="A94">
        <v>90</v>
      </c>
      <c r="B94">
        <f t="shared" si="4"/>
        <v>0.38848831593574856</v>
      </c>
      <c r="C94">
        <f>Tableau1[[#This Row],[D1]]-$E$2*SQRT($B$2)</f>
        <v>-0.51151168406425152</v>
      </c>
      <c r="D94">
        <f>NORMSDIST(Tableau1[[#This Row],[D1]])</f>
        <v>0.65117265051336182</v>
      </c>
      <c r="E94">
        <f>NORMSDIST(Tableau1[[#This Row],[D2]])</f>
        <v>0.30449640451911153</v>
      </c>
      <c r="F94" s="1">
        <f>Tableau1[[#This Row],[Prix Action]]*Tableau1[[#This Row],[Normal(D1)]]-$C$2*EXP(-$A$2*$B$2)*Tableau1[[#This Row],[Normal(D2)]]</f>
        <v>29.640944582877459</v>
      </c>
      <c r="G94" s="1">
        <f xml:space="preserve"> Tableau1[[#This Row],[Prix option]] - 0.5 * (-50) * (Tableau1[[#This Row],[Prix Action]] - $C$2)</f>
        <v>-220.35905541712253</v>
      </c>
      <c r="H94" s="8">
        <f>Tableau1[[#This Row],[Prix option]]-Tableau1[[#This Row],[D1]]*Tableau1[[#This Row],[Prix Action]]</f>
        <v>-5.3230038513399123</v>
      </c>
      <c r="I94" s="9">
        <f t="shared" si="5"/>
        <v>83.536232444561904</v>
      </c>
    </row>
    <row r="95" spans="1:9" x14ac:dyDescent="0.3">
      <c r="A95">
        <v>91</v>
      </c>
      <c r="B95">
        <f t="shared" si="4"/>
        <v>0.4007659116986208</v>
      </c>
      <c r="C95">
        <f>Tableau1[[#This Row],[D1]]-$E$2*SQRT($B$2)</f>
        <v>-0.49923408830137922</v>
      </c>
      <c r="D95">
        <f>NORMSDIST(Tableau1[[#This Row],[D1]])</f>
        <v>0.65570376078889658</v>
      </c>
      <c r="E95">
        <f>NORMSDIST(Tableau1[[#This Row],[D2]])</f>
        <v>0.30880724129085935</v>
      </c>
      <c r="F95" s="1">
        <f>Tableau1[[#This Row],[Prix Action]]*Tableau1[[#This Row],[Normal(D1)]]-$C$2*EXP(-$A$2*$B$2)*Tableau1[[#This Row],[Normal(D2)]]</f>
        <v>30.29438879031386</v>
      </c>
      <c r="G95" s="1">
        <f xml:space="preserve"> Tableau1[[#This Row],[Prix option]] - 0.5 * (-50) * (Tableau1[[#This Row],[Prix Action]] - $C$2)</f>
        <v>-194.70561120968614</v>
      </c>
      <c r="H95" s="8">
        <f>Tableau1[[#This Row],[Prix option]]-Tableau1[[#This Row],[D1]]*Tableau1[[#This Row],[Prix Action]]</f>
        <v>-6.175309174260633</v>
      </c>
      <c r="I95" s="9">
        <f t="shared" si="5"/>
        <v>85.955113774028675</v>
      </c>
    </row>
    <row r="96" spans="1:9" x14ac:dyDescent="0.3">
      <c r="A96">
        <v>92</v>
      </c>
      <c r="B96">
        <f t="shared" si="4"/>
        <v>0.41290932340105446</v>
      </c>
      <c r="C96">
        <f>Tableau1[[#This Row],[D1]]-$E$2*SQRT($B$2)</f>
        <v>-0.48709067659894556</v>
      </c>
      <c r="D96">
        <f>NORMSDIST(Tableau1[[#This Row],[D1]])</f>
        <v>0.66016347502784267</v>
      </c>
      <c r="E96">
        <f>NORMSDIST(Tableau1[[#This Row],[D2]])</f>
        <v>0.31309703662931676</v>
      </c>
      <c r="F96" s="1">
        <f>Tableau1[[#This Row],[Prix Action]]*Tableau1[[#This Row],[Normal(D1)]]-$C$2*EXP(-$A$2*$B$2)*Tableau1[[#This Row],[Normal(D2)]]</f>
        <v>30.952328305983126</v>
      </c>
      <c r="G96" s="1">
        <f xml:space="preserve"> Tableau1[[#This Row],[Prix option]] - 0.5 * (-50) * (Tableau1[[#This Row],[Prix Action]] - $C$2)</f>
        <v>-169.04767169401688</v>
      </c>
      <c r="H96" s="8">
        <f>Tableau1[[#This Row],[Prix option]]-Tableau1[[#This Row],[D1]]*Tableau1[[#This Row],[Prix Action]]</f>
        <v>-7.035329446913881</v>
      </c>
      <c r="I96" s="9">
        <f t="shared" si="5"/>
        <v>88.391307785622587</v>
      </c>
    </row>
    <row r="97" spans="1:9" x14ac:dyDescent="0.3">
      <c r="A97">
        <v>93</v>
      </c>
      <c r="B97">
        <f t="shared" si="4"/>
        <v>0.42492145240573848</v>
      </c>
      <c r="C97">
        <f>Tableau1[[#This Row],[D1]]-$E$2*SQRT($B$2)</f>
        <v>-0.47507854759426155</v>
      </c>
      <c r="D97">
        <f>NORMSDIST(Tableau1[[#This Row],[D1]])</f>
        <v>0.66455303219249084</v>
      </c>
      <c r="E97">
        <f>NORMSDIST(Tableau1[[#This Row],[D2]])</f>
        <v>0.3173654941851789</v>
      </c>
      <c r="F97" s="1">
        <f>Tableau1[[#This Row],[Prix Action]]*Tableau1[[#This Row],[Normal(D1)]]-$C$2*EXP(-$A$2*$B$2)*Tableau1[[#This Row],[Normal(D2)]]</f>
        <v>31.614692354886405</v>
      </c>
      <c r="G97" s="1">
        <f xml:space="preserve"> Tableau1[[#This Row],[Prix option]] - 0.5 * (-50) * (Tableau1[[#This Row],[Prix Action]] - $C$2)</f>
        <v>-143.38530764511358</v>
      </c>
      <c r="H97" s="8">
        <f>Tableau1[[#This Row],[Prix option]]-Tableau1[[#This Row],[D1]]*Tableau1[[#This Row],[Prix Action]]</f>
        <v>-7.9030027188472722</v>
      </c>
      <c r="I97" s="9">
        <f t="shared" si="5"/>
        <v>90.844720645456221</v>
      </c>
    </row>
    <row r="98" spans="1:9" x14ac:dyDescent="0.3">
      <c r="A98">
        <v>94</v>
      </c>
      <c r="B98">
        <f t="shared" si="4"/>
        <v>0.43680510697990277</v>
      </c>
      <c r="C98">
        <f>Tableau1[[#This Row],[D1]]-$E$2*SQRT($B$2)</f>
        <v>-0.46319489302009725</v>
      </c>
      <c r="D98">
        <f>NORMSDIST(Tableau1[[#This Row],[D1]])</f>
        <v>0.66887365250485198</v>
      </c>
      <c r="E98">
        <f>NORMSDIST(Tableau1[[#This Row],[D2]])</f>
        <v>0.32161233826305413</v>
      </c>
      <c r="F98" s="1">
        <f>Tableau1[[#This Row],[Prix Action]]*Tableau1[[#This Row],[Normal(D1)]]-$C$2*EXP(-$A$2*$B$2)*Tableau1[[#This Row],[Normal(D2)]]</f>
        <v>32.28141139162669</v>
      </c>
      <c r="G98" s="1">
        <f xml:space="preserve"> Tableau1[[#This Row],[Prix option]] - 0.5 * (-50) * (Tableau1[[#This Row],[Prix Action]] - $C$2)</f>
        <v>-117.71858860837331</v>
      </c>
      <c r="H98" s="8">
        <f>Tableau1[[#This Row],[Prix option]]-Tableau1[[#This Row],[D1]]*Tableau1[[#This Row],[Prix Action]]</f>
        <v>-8.7782686644841732</v>
      </c>
      <c r="I98" s="9">
        <f t="shared" si="5"/>
        <v>93.315259755208245</v>
      </c>
    </row>
    <row r="99" spans="1:9" x14ac:dyDescent="0.3">
      <c r="A99">
        <v>95</v>
      </c>
      <c r="B99">
        <f t="shared" si="4"/>
        <v>0.44856300623605488</v>
      </c>
      <c r="C99">
        <f>Tableau1[[#This Row],[D1]]-$E$2*SQRT($B$2)</f>
        <v>-0.45143699376394514</v>
      </c>
      <c r="D99">
        <f>NORMSDIST(Tableau1[[#This Row],[D1]])</f>
        <v>0.67312653735169192</v>
      </c>
      <c r="E99">
        <f>NORMSDIST(Tableau1[[#This Row],[D2]])</f>
        <v>0.3258373129391135</v>
      </c>
      <c r="F99" s="1">
        <f>Tableau1[[#This Row],[Prix Action]]*Tableau1[[#This Row],[Normal(D1)]]-$C$2*EXP(-$A$2*$B$2)*Tableau1[[#This Row],[Normal(D2)]]</f>
        <v>32.952417081617533</v>
      </c>
      <c r="G99" s="1">
        <f xml:space="preserve"> Tableau1[[#This Row],[Prix option]] - 0.5 * (-50) * (Tableau1[[#This Row],[Prix Action]] - $C$2)</f>
        <v>-92.04758291838246</v>
      </c>
      <c r="H99" s="8">
        <f>Tableau1[[#This Row],[Prix option]]-Tableau1[[#This Row],[D1]]*Tableau1[[#This Row],[Prix Action]]</f>
        <v>-9.6610685108076808</v>
      </c>
      <c r="I99" s="9">
        <f t="shared" si="5"/>
        <v>95.802833693602565</v>
      </c>
    </row>
    <row r="100" spans="1:9" x14ac:dyDescent="0.3">
      <c r="A100">
        <v>96</v>
      </c>
      <c r="B100">
        <f t="shared" si="4"/>
        <v>0.46019778386638316</v>
      </c>
      <c r="C100">
        <f>Tableau1[[#This Row],[D1]]-$E$2*SQRT($B$2)</f>
        <v>-0.43980221613361686</v>
      </c>
      <c r="D100">
        <f>NORMSDIST(Tableau1[[#This Row],[D1]])</f>
        <v>0.67731286922963152</v>
      </c>
      <c r="E100">
        <f>NORMSDIST(Tableau1[[#This Row],[D2]])</f>
        <v>0.33004018121396766</v>
      </c>
      <c r="F100" s="1">
        <f>Tableau1[[#This Row],[Prix Action]]*Tableau1[[#This Row],[Normal(D1)]]-$C$2*EXP(-$A$2*$B$2)*Tableau1[[#This Row],[Normal(D2)]]</f>
        <v>33.627642282217238</v>
      </c>
      <c r="G100" s="1">
        <f xml:space="preserve"> Tableau1[[#This Row],[Prix option]] - 0.5 * (-50) * (Tableau1[[#This Row],[Prix Action]] - $C$2)</f>
        <v>-66.372357717782762</v>
      </c>
      <c r="H100" s="8">
        <f>Tableau1[[#This Row],[Prix option]]-Tableau1[[#This Row],[D1]]*Tableau1[[#This Row],[Prix Action]]</f>
        <v>-10.551344968955547</v>
      </c>
      <c r="I100" s="9">
        <f t="shared" si="5"/>
        <v>98.307352162244001</v>
      </c>
    </row>
    <row r="101" spans="1:9" x14ac:dyDescent="0.3">
      <c r="A101">
        <v>97</v>
      </c>
      <c r="B101">
        <f t="shared" ref="B101:B132" si="6" xml:space="preserve"> (LN($A101/$C$2) + ($A$2 + ($E$2^2)/2) * $B$2) / ($E$2 * SQRT($B$2))</f>
        <v>0.47171199168365713</v>
      </c>
      <c r="C101">
        <f>Tableau1[[#This Row],[D1]]-$E$2*SQRT($B$2)</f>
        <v>-0.42828800831634289</v>
      </c>
      <c r="D101">
        <f>NORMSDIST(Tableau1[[#This Row],[D1]])</f>
        <v>0.68143381172648576</v>
      </c>
      <c r="E101">
        <f>NORMSDIST(Tableau1[[#This Row],[D2]])</f>
        <v>0.33422072419942089</v>
      </c>
      <c r="F101" s="1">
        <f>Tableau1[[#This Row],[Prix Action]]*Tableau1[[#This Row],[Normal(D1)]]-$C$2*EXP(-$A$2*$B$2)*Tableau1[[#This Row],[Normal(D2)]]</f>
        <v>34.307021023826422</v>
      </c>
      <c r="G101" s="1">
        <f xml:space="preserve"> Tableau1[[#This Row],[Prix option]] - 0.5 * (-50) * (Tableau1[[#This Row],[Prix Action]] - $C$2)</f>
        <v>-40.692978976173578</v>
      </c>
      <c r="H101" s="8">
        <f>Tableau1[[#This Row],[Prix option]]-Tableau1[[#This Row],[D1]]*Tableau1[[#This Row],[Prix Action]]</f>
        <v>-11.449042169488322</v>
      </c>
      <c r="I101" s="9">
        <f t="shared" ref="I101:I132" si="7">$F102-$F101-(H102*$A102-$H101*$A101)</f>
        <v>100.8287259354361</v>
      </c>
    </row>
    <row r="102" spans="1:9" x14ac:dyDescent="0.3">
      <c r="A102">
        <v>98</v>
      </c>
      <c r="B102">
        <f t="shared" si="6"/>
        <v>0.48310810298053397</v>
      </c>
      <c r="C102">
        <f>Tableau1[[#This Row],[D1]]-$E$2*SQRT($B$2)</f>
        <v>-0.41689189701946605</v>
      </c>
      <c r="D102">
        <f>NORMSDIST(Tableau1[[#This Row],[D1]])</f>
        <v>0.68549050953533819</v>
      </c>
      <c r="E102">
        <f>NORMSDIST(Tableau1[[#This Row],[D2]])</f>
        <v>0.33837874033779203</v>
      </c>
      <c r="F102" s="1">
        <f>Tableau1[[#This Row],[Prix Action]]*Tableau1[[#This Row],[Normal(D1)]]-$C$2*EXP(-$A$2*$B$2)*Tableau1[[#This Row],[Normal(D2)]]</f>
        <v>34.990488490983694</v>
      </c>
      <c r="G102" s="1">
        <f xml:space="preserve"> Tableau1[[#This Row],[Prix option]] - 0.5 * (-50) * (Tableau1[[#This Row],[Prix Action]] - $C$2)</f>
        <v>-15.009511509016306</v>
      </c>
      <c r="H102" s="8">
        <f>Tableau1[[#This Row],[Prix option]]-Tableau1[[#This Row],[D1]]*Tableau1[[#This Row],[Prix Action]]</f>
        <v>-12.354105601108635</v>
      </c>
      <c r="I102" s="9">
        <f t="shared" si="7"/>
        <v>103.3668668136753</v>
      </c>
    </row>
    <row r="103" spans="1:9" x14ac:dyDescent="0.3">
      <c r="A103">
        <v>99</v>
      </c>
      <c r="B103">
        <f t="shared" si="6"/>
        <v>0.4943885157183317</v>
      </c>
      <c r="C103">
        <f>Tableau1[[#This Row],[D1]]-$E$2*SQRT($B$2)</f>
        <v>-0.40561148428166832</v>
      </c>
      <c r="D103">
        <f>NORMSDIST(Tableau1[[#This Row],[D1]])</f>
        <v>0.68948408849813403</v>
      </c>
      <c r="E103">
        <f>NORMSDIST(Tableau1[[#This Row],[D2]])</f>
        <v>0.34251404465254076</v>
      </c>
      <c r="F103" s="1">
        <f>Tableau1[[#This Row],[Prix Action]]*Tableau1[[#This Row],[Normal(D1)]]-$C$2*EXP(-$A$2*$B$2)*Tableau1[[#This Row],[Normal(D2)]]</f>
        <v>35.677981003490451</v>
      </c>
      <c r="G103" s="1">
        <f xml:space="preserve"> Tableau1[[#This Row],[Prix option]] - 0.5 * (-50) * (Tableau1[[#This Row],[Prix Action]] - $C$2)</f>
        <v>10.677981003490451</v>
      </c>
      <c r="H103" s="8">
        <f>Tableau1[[#This Row],[Prix option]]-Tableau1[[#This Row],[D1]]*Tableau1[[#This Row],[Prix Action]]</f>
        <v>-13.26648205262439</v>
      </c>
      <c r="I103" s="9">
        <f t="shared" si="7"/>
        <v>105.92168758058355</v>
      </c>
    </row>
    <row r="104" spans="1:9" x14ac:dyDescent="0.3">
      <c r="A104">
        <v>100</v>
      </c>
      <c r="B104">
        <f t="shared" si="6"/>
        <v>0.50555555555555554</v>
      </c>
      <c r="C104">
        <f>Tableau1[[#This Row],[D1]]-$E$2*SQRT($B$2)</f>
        <v>-0.39444444444444449</v>
      </c>
      <c r="D104">
        <f>NORMSDIST(Tableau1[[#This Row],[D1]])</f>
        <v>0.6934156556758464</v>
      </c>
      <c r="E104">
        <f>NORMSDIST(Tableau1[[#This Row],[D2]])</f>
        <v>0.34662646802897856</v>
      </c>
      <c r="F104" s="1">
        <f>Tableau1[[#This Row],[Prix Action]]*Tableau1[[#This Row],[Normal(D1)]]-$C$2*EXP(-$A$2*$B$2)*Tableau1[[#This Row],[Normal(D2)]]</f>
        <v>36.369435997592596</v>
      </c>
      <c r="G104" s="1">
        <f xml:space="preserve"> Tableau1[[#This Row],[Prix option]] - 0.5 * (-50) * (Tableau1[[#This Row],[Prix Action]] - $C$2)</f>
        <v>36.369435997592596</v>
      </c>
      <c r="H104" s="8">
        <f>Tableau1[[#This Row],[Prix option]]-Tableau1[[#This Row],[D1]]*Tableau1[[#This Row],[Prix Action]]</f>
        <v>-14.186119557962961</v>
      </c>
      <c r="I104" s="9">
        <f t="shared" si="7"/>
        <v>108.49310196292487</v>
      </c>
    </row>
    <row r="105" spans="1:9" x14ac:dyDescent="0.3">
      <c r="A105">
        <v>101</v>
      </c>
      <c r="B105">
        <f t="shared" si="6"/>
        <v>0.51661147872574231</v>
      </c>
      <c r="C105">
        <f>Tableau1[[#This Row],[D1]]-$E$2*SQRT($B$2)</f>
        <v>-0.38338852127425771</v>
      </c>
      <c r="D105">
        <f>NORMSDIST(Tableau1[[#This Row],[D1]])</f>
        <v>0.69728629944251375</v>
      </c>
      <c r="E105">
        <f>NORMSDIST(Tableau1[[#This Row],[D2]])</f>
        <v>0.35071585652388537</v>
      </c>
      <c r="F105" s="1">
        <f>Tableau1[[#This Row],[Prix Action]]*Tableau1[[#This Row],[Normal(D1)]]-$C$2*EXP(-$A$2*$B$2)*Tableau1[[#This Row],[Normal(D2)]]</f>
        <v>37.06479200724484</v>
      </c>
      <c r="G105" s="1">
        <f xml:space="preserve"> Tableau1[[#This Row],[Prix option]] - 0.5 * (-50) * (Tableau1[[#This Row],[Prix Action]] - $C$2)</f>
        <v>62.06479200724484</v>
      </c>
      <c r="H105" s="8">
        <f>Tableau1[[#This Row],[Prix option]]-Tableau1[[#This Row],[D1]]*Tableau1[[#This Row],[Prix Action]]</f>
        <v>-15.112967344055136</v>
      </c>
      <c r="I105" s="9">
        <f t="shared" si="7"/>
        <v>111.08102459357664</v>
      </c>
    </row>
    <row r="106" spans="1:9" x14ac:dyDescent="0.3">
      <c r="A106">
        <v>102</v>
      </c>
      <c r="B106">
        <f t="shared" si="6"/>
        <v>0.52755847477353301</v>
      </c>
      <c r="C106">
        <f>Tableau1[[#This Row],[D1]]-$E$2*SQRT($B$2)</f>
        <v>-0.37244152522646701</v>
      </c>
      <c r="D106">
        <f>NORMSDIST(Tableau1[[#This Row],[D1]])</f>
        <v>0.7010970896006733</v>
      </c>
      <c r="E106">
        <f>NORMSDIST(Tableau1[[#This Row],[D2]])</f>
        <v>0.3547820707028988</v>
      </c>
      <c r="F106" s="1">
        <f>Tableau1[[#This Row],[Prix Action]]*Tableau1[[#This Row],[Normal(D1)]]-$C$2*EXP(-$A$2*$B$2)*Tableau1[[#This Row],[Normal(D2)]]</f>
        <v>37.763988645479678</v>
      </c>
      <c r="G106" s="1">
        <f xml:space="preserve"> Tableau1[[#This Row],[Prix option]] - 0.5 * (-50) * (Tableau1[[#This Row],[Prix Action]] - $C$2)</f>
        <v>87.763988645479685</v>
      </c>
      <c r="H106" s="8">
        <f>Tableau1[[#This Row],[Prix option]]-Tableau1[[#This Row],[D1]]*Tableau1[[#This Row],[Prix Action]]</f>
        <v>-16.046975781420691</v>
      </c>
      <c r="I106" s="9">
        <f t="shared" si="7"/>
        <v>113.68537097712678</v>
      </c>
    </row>
    <row r="107" spans="1:9" x14ac:dyDescent="0.3">
      <c r="A107">
        <v>103</v>
      </c>
      <c r="B107">
        <f t="shared" si="6"/>
        <v>0.53839866915727164</v>
      </c>
      <c r="C107">
        <f>Tableau1[[#This Row],[D1]]-$E$2*SQRT($B$2)</f>
        <v>-0.36160133084272839</v>
      </c>
      <c r="D107">
        <f>NORMSDIST(Tableau1[[#This Row],[D1]])</f>
        <v>0.70484907751592241</v>
      </c>
      <c r="E107">
        <f>NORMSDIST(Tableau1[[#This Row],[D2]])</f>
        <v>0.3588249850045786</v>
      </c>
      <c r="F107" s="1">
        <f>Tableau1[[#This Row],[Prix Action]]*Tableau1[[#This Row],[Normal(D1)]]-$C$2*EXP(-$A$2*$B$2)*Tableau1[[#This Row],[Normal(D2)]]</f>
        <v>38.466966585901744</v>
      </c>
      <c r="G107" s="1">
        <f xml:space="preserve"> Tableau1[[#This Row],[Prix option]] - 0.5 * (-50) * (Tableau1[[#This Row],[Prix Action]] - $C$2)</f>
        <v>113.46696658590174</v>
      </c>
      <c r="H107" s="8">
        <f>Tableau1[[#This Row],[Prix option]]-Tableau1[[#This Row],[D1]]*Tableau1[[#This Row],[Prix Action]]</f>
        <v>-16.988096337297236</v>
      </c>
      <c r="I107" s="9">
        <f t="shared" si="7"/>
        <v>116.30605745796755</v>
      </c>
    </row>
    <row r="108" spans="1:9" x14ac:dyDescent="0.3">
      <c r="A108">
        <v>104</v>
      </c>
      <c r="B108">
        <f t="shared" si="6"/>
        <v>0.54913412572586817</v>
      </c>
      <c r="C108">
        <f>Tableau1[[#This Row],[D1]]-$E$2*SQRT($B$2)</f>
        <v>-0.35086587427413185</v>
      </c>
      <c r="D108">
        <f>NORMSDIST(Tableau1[[#This Row],[D1]])</f>
        <v>0.7085432962685283</v>
      </c>
      <c r="E108">
        <f>NORMSDIST(Tableau1[[#This Row],[D2]])</f>
        <v>0.36284448713009432</v>
      </c>
      <c r="F108" s="1">
        <f>Tableau1[[#This Row],[Prix Action]]*Tableau1[[#This Row],[Normal(D1)]]-$C$2*EXP(-$A$2*$B$2)*Tableau1[[#This Row],[Normal(D2)]]</f>
        <v>39.173667544325298</v>
      </c>
      <c r="G108" s="1">
        <f xml:space="preserve"> Tableau1[[#This Row],[Prix option]] - 0.5 * (-50) * (Tableau1[[#This Row],[Prix Action]] - $C$2)</f>
        <v>139.1736675443253</v>
      </c>
      <c r="H108" s="8">
        <f>Tableau1[[#This Row],[Prix option]]-Tableau1[[#This Row],[D1]]*Tableau1[[#This Row],[Prix Action]]</f>
        <v>-17.936281531164994</v>
      </c>
      <c r="I108" s="9">
        <f t="shared" si="7"/>
        <v>118.94300119066006</v>
      </c>
    </row>
    <row r="109" spans="1:9" x14ac:dyDescent="0.3">
      <c r="A109">
        <v>105</v>
      </c>
      <c r="B109">
        <f t="shared" si="6"/>
        <v>0.55976684907714669</v>
      </c>
      <c r="C109">
        <f>Tableau1[[#This Row],[D1]]-$E$2*SQRT($B$2)</f>
        <v>-0.34023315092285333</v>
      </c>
      <c r="D109">
        <f>NORMSDIST(Tableau1[[#This Row],[D1]])</f>
        <v>0.71218076082018522</v>
      </c>
      <c r="E109">
        <f>NORMSDIST(Tableau1[[#This Row],[D2]])</f>
        <v>0.36684047745751913</v>
      </c>
      <c r="F109" s="1">
        <f>Tableau1[[#This Row],[Prix Action]]*Tableau1[[#This Row],[Normal(D1)]]-$C$2*EXP(-$A$2*$B$2)*Tableau1[[#This Row],[Normal(D2)]]</f>
        <v>39.884034260571134</v>
      </c>
      <c r="G109" s="1">
        <f xml:space="preserve"> Tableau1[[#This Row],[Prix option]] - 0.5 * (-50) * (Tableau1[[#This Row],[Prix Action]] - $C$2)</f>
        <v>164.88403426057113</v>
      </c>
      <c r="H109" s="8">
        <f>Tableau1[[#This Row],[Prix option]]-Tableau1[[#This Row],[D1]]*Tableau1[[#This Row],[Prix Action]]</f>
        <v>-18.89148489252927</v>
      </c>
      <c r="I109" s="9">
        <f t="shared" si="7"/>
        <v>121.59612011240874</v>
      </c>
    </row>
    <row r="110" spans="1:9" x14ac:dyDescent="0.3">
      <c r="A110">
        <v>106</v>
      </c>
      <c r="B110">
        <f t="shared" si="6"/>
        <v>0.57029878680441759</v>
      </c>
      <c r="C110">
        <f>Tableau1[[#This Row],[D1]]-$E$2*SQRT($B$2)</f>
        <v>-0.32970121319558243</v>
      </c>
      <c r="D110">
        <f>NORMSDIST(Tableau1[[#This Row],[D1]])</f>
        <v>0.71576246819417344</v>
      </c>
      <c r="E110">
        <f>NORMSDIST(Tableau1[[#This Row],[D2]])</f>
        <v>0.3708128684797527</v>
      </c>
      <c r="F110" s="1">
        <f>Tableau1[[#This Row],[Prix Action]]*Tableau1[[#This Row],[Normal(D1)]]-$C$2*EXP(-$A$2*$B$2)*Tableau1[[#This Row],[Normal(D2)]]</f>
        <v>40.598010480436976</v>
      </c>
      <c r="G110" s="1">
        <f xml:space="preserve"> Tableau1[[#This Row],[Prix option]] - 0.5 * (-50) * (Tableau1[[#This Row],[Prix Action]] - $C$2)</f>
        <v>190.59801048043698</v>
      </c>
      <c r="H110" s="8">
        <f>Tableau1[[#This Row],[Prix option]]-Tableau1[[#This Row],[D1]]*Tableau1[[#This Row],[Prix Action]]</f>
        <v>-19.853660920831288</v>
      </c>
      <c r="I110" s="9">
        <f t="shared" si="7"/>
        <v>124.26533291747012</v>
      </c>
    </row>
    <row r="111" spans="1:9" x14ac:dyDescent="0.3">
      <c r="A111">
        <v>107</v>
      </c>
      <c r="B111">
        <f t="shared" si="6"/>
        <v>0.58073183163757214</v>
      </c>
      <c r="C111">
        <f>Tableau1[[#This Row],[D1]]-$E$2*SQRT($B$2)</f>
        <v>-0.31926816836242788</v>
      </c>
      <c r="D111">
        <f>NORMSDIST(Tableau1[[#This Row],[D1]])</f>
        <v>0.71928939766732725</v>
      </c>
      <c r="E111">
        <f>NORMSDIST(Tableau1[[#This Row],[D2]])</f>
        <v>0.37476158426513329</v>
      </c>
      <c r="F111" s="1">
        <f>Tableau1[[#This Row],[Prix Action]]*Tableau1[[#This Row],[Normal(D1)]]-$C$2*EXP(-$A$2*$B$2)*Tableau1[[#This Row],[Normal(D2)]]</f>
        <v>41.315540937854152</v>
      </c>
      <c r="G111" s="1">
        <f xml:space="preserve"> Tableau1[[#This Row],[Prix option]] - 0.5 * (-50) * (Tableau1[[#This Row],[Prix Action]] - $C$2)</f>
        <v>216.31554093785417</v>
      </c>
      <c r="H111" s="8">
        <f>Tableau1[[#This Row],[Prix option]]-Tableau1[[#This Row],[D1]]*Tableau1[[#This Row],[Prix Action]]</f>
        <v>-20.822765047366069</v>
      </c>
      <c r="I111" s="9">
        <f t="shared" si="7"/>
        <v>126.95055903335822</v>
      </c>
    </row>
    <row r="112" spans="1:9" x14ac:dyDescent="0.3">
      <c r="A112">
        <v>108</v>
      </c>
      <c r="B112">
        <f t="shared" si="6"/>
        <v>0.59106782348458708</v>
      </c>
      <c r="C112">
        <f>Tableau1[[#This Row],[D1]]-$E$2*SQRT($B$2)</f>
        <v>-0.30893217651541294</v>
      </c>
      <c r="D112">
        <f>NORMSDIST(Tableau1[[#This Row],[D1]])</f>
        <v>0.72276251097235023</v>
      </c>
      <c r="E112">
        <f>NORMSDIST(Tableau1[[#This Row],[D2]])</f>
        <v>0.37868655993983363</v>
      </c>
      <c r="F112" s="1">
        <f>Tableau1[[#This Row],[Prix Action]]*Tableau1[[#This Row],[Normal(D1)]]-$C$2*EXP(-$A$2*$B$2)*Tableau1[[#This Row],[Normal(D2)]]</f>
        <v>42.036571337241512</v>
      </c>
      <c r="G112" s="1">
        <f xml:space="preserve"> Tableau1[[#This Row],[Prix option]] - 0.5 * (-50) * (Tableau1[[#This Row],[Prix Action]] - $C$2)</f>
        <v>242.03657133724153</v>
      </c>
      <c r="H112" s="8">
        <f>Tableau1[[#This Row],[Prix option]]-Tableau1[[#This Row],[D1]]*Tableau1[[#This Row],[Prix Action]]</f>
        <v>-21.798753599093892</v>
      </c>
      <c r="I112" s="9">
        <f t="shared" si="7"/>
        <v>129.65171859873053</v>
      </c>
    </row>
    <row r="113" spans="1:9" x14ac:dyDescent="0.3">
      <c r="A113">
        <v>109</v>
      </c>
      <c r="B113">
        <f t="shared" si="6"/>
        <v>0.60130855137894712</v>
      </c>
      <c r="C113">
        <f>Tableau1[[#This Row],[D1]]-$E$2*SQRT($B$2)</f>
        <v>-0.2986914486210529</v>
      </c>
      <c r="D113">
        <f>NORMSDIST(Tableau1[[#This Row],[D1]])</f>
        <v>0.72618275250914577</v>
      </c>
      <c r="E113">
        <f>NORMSDIST(Tableau1[[#This Row],[D2]])</f>
        <v>0.38258774119117134</v>
      </c>
      <c r="F113" s="1">
        <f>Tableau1[[#This Row],[Prix Action]]*Tableau1[[#This Row],[Normal(D1)]]-$C$2*EXP(-$A$2*$B$2)*Tableau1[[#This Row],[Normal(D2)]]</f>
        <v>42.761048336066288</v>
      </c>
      <c r="G113" s="1">
        <f xml:space="preserve"> Tableau1[[#This Row],[Prix option]] - 0.5 * (-50) * (Tableau1[[#This Row],[Prix Action]] - $C$2)</f>
        <v>267.76104833606627</v>
      </c>
      <c r="H113" s="8">
        <f>Tableau1[[#This Row],[Prix option]]-Tableau1[[#This Row],[D1]]*Tableau1[[#This Row],[Prix Action]]</f>
        <v>-22.781583764238952</v>
      </c>
      <c r="I113" s="9">
        <f t="shared" si="7"/>
        <v>132.36873244277206</v>
      </c>
    </row>
    <row r="114" spans="1:9" x14ac:dyDescent="0.3">
      <c r="A114">
        <v>110</v>
      </c>
      <c r="B114">
        <f t="shared" si="6"/>
        <v>0.61145575533813878</v>
      </c>
      <c r="C114">
        <f>Tableau1[[#This Row],[D1]]-$E$2*SQRT($B$2)</f>
        <v>-0.28854424466186124</v>
      </c>
      <c r="D114">
        <f>NORMSDIST(Tableau1[[#This Row],[D1]])</f>
        <v>0.72955104956393801</v>
      </c>
      <c r="E114">
        <f>NORMSDIST(Tableau1[[#This Row],[D2]])</f>
        <v>0.3864650837909972</v>
      </c>
      <c r="F114" s="1">
        <f>Tableau1[[#This Row],[Prix Action]]*Tableau1[[#This Row],[Normal(D1)]]-$C$2*EXP(-$A$2*$B$2)*Tableau1[[#This Row],[Normal(D2)]]</f>
        <v>43.488919527620141</v>
      </c>
      <c r="G114" s="1">
        <f xml:space="preserve"> Tableau1[[#This Row],[Prix option]] - 0.5 * (-50) * (Tableau1[[#This Row],[Prix Action]] - $C$2)</f>
        <v>293.48891952762017</v>
      </c>
      <c r="H114" s="8">
        <f>Tableau1[[#This Row],[Prix option]]-Tableau1[[#This Row],[D1]]*Tableau1[[#This Row],[Prix Action]]</f>
        <v>-23.771213559575131</v>
      </c>
      <c r="I114" s="9">
        <f t="shared" si="7"/>
        <v>135.1015220660191</v>
      </c>
    </row>
    <row r="115" spans="1:9" x14ac:dyDescent="0.3">
      <c r="A115">
        <v>111</v>
      </c>
      <c r="B115">
        <f t="shared" si="6"/>
        <v>0.62151112813804754</v>
      </c>
      <c r="C115">
        <f>Tableau1[[#This Row],[D1]]-$E$2*SQRT($B$2)</f>
        <v>-0.27848887186195248</v>
      </c>
      <c r="D115">
        <f>NORMSDIST(Tableau1[[#This Row],[D1]])</f>
        <v>0.73286831253507367</v>
      </c>
      <c r="E115">
        <f>NORMSDIST(Tableau1[[#This Row],[D2]])</f>
        <v>0.39031855313835812</v>
      </c>
      <c r="F115" s="1">
        <f>Tableau1[[#This Row],[Prix Action]]*Tableau1[[#This Row],[Normal(D1)]]-$C$2*EXP(-$A$2*$B$2)*Tableau1[[#This Row],[Normal(D2)]]</f>
        <v>44.220133424018009</v>
      </c>
      <c r="G115" s="1">
        <f xml:space="preserve"> Tableau1[[#This Row],[Prix option]] - 0.5 * (-50) * (Tableau1[[#This Row],[Prix Action]] - $C$2)</f>
        <v>319.220133424018</v>
      </c>
      <c r="H115" s="8">
        <f>Tableau1[[#This Row],[Prix option]]-Tableau1[[#This Row],[D1]]*Tableau1[[#This Row],[Prix Action]]</f>
        <v>-24.767601799305275</v>
      </c>
      <c r="I115" s="9">
        <f t="shared" si="7"/>
        <v>137.85000962247835</v>
      </c>
    </row>
    <row r="116" spans="1:9" x14ac:dyDescent="0.3">
      <c r="A116">
        <v>112</v>
      </c>
      <c r="B116">
        <f t="shared" si="6"/>
        <v>0.6314763170077814</v>
      </c>
      <c r="C116">
        <f>Tableau1[[#This Row],[D1]]-$E$2*SQRT($B$2)</f>
        <v>-0.26852368299221863</v>
      </c>
      <c r="D116">
        <f>NORMSDIST(Tableau1[[#This Row],[D1]])</f>
        <v>0.73613543516448166</v>
      </c>
      <c r="E116">
        <f>NORMSDIST(Tableau1[[#This Row],[D2]])</f>
        <v>0.39414812382066217</v>
      </c>
      <c r="F116" s="1">
        <f>Tableau1[[#This Row],[Prix Action]]*Tableau1[[#This Row],[Normal(D1)]]-$C$2*EXP(-$A$2*$B$2)*Tableau1[[#This Row],[Normal(D2)]]</f>
        <v>44.954639439425485</v>
      </c>
      <c r="G116" s="1">
        <f xml:space="preserve"> Tableau1[[#This Row],[Prix option]] - 0.5 * (-50) * (Tableau1[[#This Row],[Prix Action]] - $C$2)</f>
        <v>344.95463943942548</v>
      </c>
      <c r="H116" s="8">
        <f>Tableau1[[#This Row],[Prix option]]-Tableau1[[#This Row],[D1]]*Tableau1[[#This Row],[Prix Action]]</f>
        <v>-25.770708065446037</v>
      </c>
      <c r="I116" s="9">
        <f t="shared" si="7"/>
        <v>140.61411790296512</v>
      </c>
    </row>
    <row r="117" spans="1:9" x14ac:dyDescent="0.3">
      <c r="A117">
        <v>113</v>
      </c>
      <c r="B117">
        <f t="shared" si="6"/>
        <v>0.64135292524916565</v>
      </c>
      <c r="C117">
        <f>Tableau1[[#This Row],[D1]]-$E$2*SQRT($B$2)</f>
        <v>-0.25864707475083437</v>
      </c>
      <c r="D117">
        <f>NORMSDIST(Tableau1[[#This Row],[D1]])</f>
        <v>0.73935329477386358</v>
      </c>
      <c r="E117">
        <f>NORMSDIST(Tableau1[[#This Row],[D2]])</f>
        <v>0.39795377919260411</v>
      </c>
      <c r="F117" s="1">
        <f>Tableau1[[#This Row],[Prix Action]]*Tableau1[[#This Row],[Normal(D1)]]-$C$2*EXP(-$A$2*$B$2)*Tableau1[[#This Row],[Normal(D2)]]</f>
        <v>45.692387873520083</v>
      </c>
      <c r="G117" s="1">
        <f xml:space="preserve"> Tableau1[[#This Row],[Prix option]] - 0.5 * (-50) * (Tableau1[[#This Row],[Prix Action]] - $C$2)</f>
        <v>370.69238787352009</v>
      </c>
      <c r="H117" s="8">
        <f>Tableau1[[#This Row],[Prix option]]-Tableau1[[#This Row],[D1]]*Tableau1[[#This Row],[Prix Action]]</f>
        <v>-26.780492679635636</v>
      </c>
      <c r="I117" s="9">
        <f t="shared" si="7"/>
        <v>143.3937703195673</v>
      </c>
    </row>
    <row r="118" spans="1:9" x14ac:dyDescent="0.3">
      <c r="A118">
        <v>114</v>
      </c>
      <c r="B118">
        <f t="shared" si="6"/>
        <v>0.65114251378489341</v>
      </c>
      <c r="C118">
        <f>Tableau1[[#This Row],[D1]]-$E$2*SQRT($B$2)</f>
        <v>-0.24885748621510662</v>
      </c>
      <c r="D118">
        <f>NORMSDIST(Tableau1[[#This Row],[D1]])</f>
        <v>0.74252275250476896</v>
      </c>
      <c r="E118">
        <f>NORMSDIST(Tableau1[[#This Row],[D2]])</f>
        <v>0.40173551097213955</v>
      </c>
      <c r="F118" s="1">
        <f>Tableau1[[#This Row],[Prix Action]]*Tableau1[[#This Row],[Normal(D1)]]-$C$2*EXP(-$A$2*$B$2)*Tableau1[[#This Row],[Normal(D2)]]</f>
        <v>46.433329895190802</v>
      </c>
      <c r="G118" s="1">
        <f xml:space="preserve"> Tableau1[[#This Row],[Prix option]] - 0.5 * (-50) * (Tableau1[[#This Row],[Prix Action]] - $C$2)</f>
        <v>396.43332989519081</v>
      </c>
      <c r="H118" s="8">
        <f>Tableau1[[#This Row],[Prix option]]-Tableau1[[#This Row],[D1]]*Tableau1[[#This Row],[Prix Action]]</f>
        <v>-27.796916676287047</v>
      </c>
      <c r="I118" s="9">
        <f t="shared" si="7"/>
        <v>146.18889089107827</v>
      </c>
    </row>
    <row r="119" spans="1:9" x14ac:dyDescent="0.3">
      <c r="A119">
        <v>115</v>
      </c>
      <c r="B119">
        <f t="shared" si="6"/>
        <v>0.66084660263906514</v>
      </c>
      <c r="C119">
        <f>Tableau1[[#This Row],[D1]]-$E$2*SQRT($B$2)</f>
        <v>-0.23915339736093488</v>
      </c>
      <c r="D119">
        <f>NORMSDIST(Tableau1[[#This Row],[D1]])</f>
        <v>0.74564465356178011</v>
      </c>
      <c r="E119">
        <f>NORMSDIST(Tableau1[[#This Row],[D2]])</f>
        <v>0.40549331885282142</v>
      </c>
      <c r="F119" s="1">
        <f>Tableau1[[#This Row],[Prix Action]]*Tableau1[[#This Row],[Normal(D1)]]-$C$2*EXP(-$A$2*$B$2)*Tableau1[[#This Row],[Normal(D2)]]</f>
        <v>47.177417526479331</v>
      </c>
      <c r="G119" s="1">
        <f xml:space="preserve"> Tableau1[[#This Row],[Prix option]] - 0.5 * (-50) * (Tableau1[[#This Row],[Prix Action]] - $C$2)</f>
        <v>422.1774175264793</v>
      </c>
      <c r="H119" s="8">
        <f>Tableau1[[#This Row],[Prix option]]-Tableau1[[#This Row],[D1]]*Tableau1[[#This Row],[Prix Action]]</f>
        <v>-28.819941777013156</v>
      </c>
      <c r="I119" s="9">
        <f t="shared" si="7"/>
        <v>148.99940422948657</v>
      </c>
    </row>
    <row r="120" spans="1:9" x14ac:dyDescent="0.3">
      <c r="A120">
        <v>116</v>
      </c>
      <c r="B120">
        <f t="shared" si="6"/>
        <v>0.67046667235363688</v>
      </c>
      <c r="C120">
        <f>Tableau1[[#This Row],[D1]]-$E$2*SQRT($B$2)</f>
        <v>-0.22953332764636314</v>
      </c>
      <c r="D120">
        <f>NORMSDIST(Tableau1[[#This Row],[D1]])</f>
        <v>0.74871982745810761</v>
      </c>
      <c r="E120">
        <f>NORMSDIST(Tableau1[[#This Row],[D2]])</f>
        <v>0.40922721013184477</v>
      </c>
      <c r="F120" s="1">
        <f>Tableau1[[#This Row],[Prix Action]]*Tableau1[[#This Row],[Normal(D1)]]-$C$2*EXP(-$A$2*$B$2)*Tableau1[[#This Row],[Normal(D2)]]</f>
        <v>47.92460362676573</v>
      </c>
      <c r="G120" s="1">
        <f xml:space="preserve"> Tableau1[[#This Row],[Prix option]] - 0.5 * (-50) * (Tableau1[[#This Row],[Prix Action]] - $C$2)</f>
        <v>447.9246036267657</v>
      </c>
      <c r="H120" s="8">
        <f>Tableau1[[#This Row],[Prix option]]-Tableau1[[#This Row],[D1]]*Tableau1[[#This Row],[Prix Action]]</f>
        <v>-29.849530366256147</v>
      </c>
      <c r="I120" s="9">
        <f t="shared" si="7"/>
        <v>151.82523552725561</v>
      </c>
    </row>
    <row r="121" spans="1:9" x14ac:dyDescent="0.3">
      <c r="A121">
        <v>117</v>
      </c>
      <c r="B121">
        <f t="shared" si="6"/>
        <v>0.68000416534407182</v>
      </c>
      <c r="C121">
        <f>Tableau1[[#This Row],[D1]]-$E$2*SQRT($B$2)</f>
        <v>-0.2199958346559282</v>
      </c>
      <c r="D121">
        <f>NORMSDIST(Tableau1[[#This Row],[D1]])</f>
        <v>0.75174908826295317</v>
      </c>
      <c r="E121">
        <f>NORMSDIST(Tableau1[[#This Row],[D2]])</f>
        <v>0.41293719935316697</v>
      </c>
      <c r="F121" s="1">
        <f>Tableau1[[#This Row],[Prix Action]]*Tableau1[[#This Row],[Normal(D1)]]-$C$2*EXP(-$A$2*$B$2)*Tableau1[[#This Row],[Normal(D2)]]</f>
        <v>48.674841877200556</v>
      </c>
      <c r="G121" s="1">
        <f xml:space="preserve"> Tableau1[[#This Row],[Prix option]] - 0.5 * (-50) * (Tableau1[[#This Row],[Prix Action]] - $C$2)</f>
        <v>473.67484187720055</v>
      </c>
      <c r="H121" s="8">
        <f>Tableau1[[#This Row],[Prix option]]-Tableau1[[#This Row],[D1]]*Tableau1[[#This Row],[Prix Action]]</f>
        <v>-30.885645468055849</v>
      </c>
      <c r="I121" s="9">
        <f t="shared" si="7"/>
        <v>154.66631054546383</v>
      </c>
    </row>
    <row r="122" spans="1:9" x14ac:dyDescent="0.3">
      <c r="A122">
        <v>118</v>
      </c>
      <c r="B122">
        <f t="shared" si="6"/>
        <v>0.68946048719730368</v>
      </c>
      <c r="C122">
        <f>Tableau1[[#This Row],[D1]]-$E$2*SQRT($B$2)</f>
        <v>-0.21053951280269634</v>
      </c>
      <c r="D122">
        <f>NORMSDIST(Tableau1[[#This Row],[D1]])</f>
        <v>0.75473323485006394</v>
      </c>
      <c r="E122">
        <f>NORMSDIST(Tableau1[[#This Row],[D2]])</f>
        <v>0.41662330796509828</v>
      </c>
      <c r="F122" s="1">
        <f>Tableau1[[#This Row],[Prix Action]]*Tableau1[[#This Row],[Normal(D1)]]-$C$2*EXP(-$A$2*$B$2)*Tableau1[[#This Row],[Normal(D2)]]</f>
        <v>49.428086765385117</v>
      </c>
      <c r="G122" s="1">
        <f xml:space="preserve"> Tableau1[[#This Row],[Prix option]] - 0.5 * (-50) * (Tableau1[[#This Row],[Prix Action]] - $C$2)</f>
        <v>499.4280867653851</v>
      </c>
      <c r="H122" s="8">
        <f>Tableau1[[#This Row],[Prix option]]-Tableau1[[#This Row],[D1]]*Tableau1[[#This Row],[Prix Action]]</f>
        <v>-31.928250723896724</v>
      </c>
      <c r="I122" s="9">
        <f t="shared" si="7"/>
        <v>157.52255560267338</v>
      </c>
    </row>
    <row r="123" spans="1:9" x14ac:dyDescent="0.3">
      <c r="A123">
        <v>119</v>
      </c>
      <c r="B123">
        <f t="shared" si="6"/>
        <v>0.69883700791493109</v>
      </c>
      <c r="C123">
        <f>Tableau1[[#This Row],[D1]]-$E$2*SQRT($B$2)</f>
        <v>-0.20116299208506894</v>
      </c>
      <c r="D123">
        <f>NORMSDIST(Tableau1[[#This Row],[D1]])</f>
        <v>0.75767305114694705</v>
      </c>
      <c r="E123">
        <f>NORMSDIST(Tableau1[[#This Row],[D2]])</f>
        <v>0.42028556399178241</v>
      </c>
      <c r="F123" s="1">
        <f>Tableau1[[#This Row],[Prix Action]]*Tableau1[[#This Row],[Normal(D1)]]-$C$2*EXP(-$A$2*$B$2)*Tableau1[[#This Row],[Normal(D2)]]</f>
        <v>50.184293570300575</v>
      </c>
      <c r="G123" s="1">
        <f xml:space="preserve"> Tableau1[[#This Row],[Prix option]] - 0.5 * (-50) * (Tableau1[[#This Row],[Prix Action]] - $C$2)</f>
        <v>525.18429357030061</v>
      </c>
      <c r="H123" s="8">
        <f>Tableau1[[#This Row],[Prix option]]-Tableau1[[#This Row],[D1]]*Tableau1[[#This Row],[Prix Action]]</f>
        <v>-32.97731037157623</v>
      </c>
      <c r="I123" s="9">
        <f t="shared" si="7"/>
        <v>160.39389756452704</v>
      </c>
    </row>
    <row r="124" spans="1:9" x14ac:dyDescent="0.3">
      <c r="A124">
        <v>120</v>
      </c>
      <c r="B124">
        <f t="shared" si="6"/>
        <v>0.708135063104394</v>
      </c>
      <c r="C124">
        <f>Tableau1[[#This Row],[D1]]-$E$2*SQRT($B$2)</f>
        <v>-0.19186493689560602</v>
      </c>
      <c r="D124">
        <f>NORMSDIST(Tableau1[[#This Row],[D1]])</f>
        <v>0.76056930638427045</v>
      </c>
      <c r="E124">
        <f>NORMSDIST(Tableau1[[#This Row],[D2]])</f>
        <v>0.42392400171800854</v>
      </c>
      <c r="F124" s="1">
        <f>Tableau1[[#This Row],[Prix Action]]*Tableau1[[#This Row],[Normal(D1)]]-$C$2*EXP(-$A$2*$B$2)*Tableau1[[#This Row],[Normal(D2)]]</f>
        <v>50.94341834748635</v>
      </c>
      <c r="G124" s="1">
        <f xml:space="preserve"> Tableau1[[#This Row],[Prix option]] - 0.5 * (-50) * (Tableau1[[#This Row],[Prix Action]] - $C$2)</f>
        <v>550.94341834748639</v>
      </c>
      <c r="H124" s="8">
        <f>Tableau1[[#This Row],[Prix option]]-Tableau1[[#This Row],[D1]]*Tableau1[[#This Row],[Prix Action]]</f>
        <v>-34.032789225040936</v>
      </c>
      <c r="I124" s="9">
        <f t="shared" si="7"/>
        <v>163.28026383392864</v>
      </c>
    </row>
    <row r="125" spans="1:9" x14ac:dyDescent="0.3">
      <c r="A125">
        <v>121</v>
      </c>
      <c r="B125">
        <f t="shared" si="6"/>
        <v>0.71735595512072192</v>
      </c>
      <c r="C125">
        <f>Tableau1[[#This Row],[D1]]-$E$2*SQRT($B$2)</f>
        <v>-0.1826440448792781</v>
      </c>
      <c r="D125">
        <f>NORMSDIST(Tableau1[[#This Row],[D1]])</f>
        <v>0.76342275534501669</v>
      </c>
      <c r="E125">
        <f>NORMSDIST(Tableau1[[#This Row],[D2]])</f>
        <v>0.42753866138681951</v>
      </c>
      <c r="F125" s="1">
        <f>Tableau1[[#This Row],[Prix Action]]*Tableau1[[#This Row],[Normal(D1)]]-$C$2*EXP(-$A$2*$B$2)*Tableau1[[#This Row],[Normal(D2)]]</f>
        <v>51.705417914468022</v>
      </c>
      <c r="G125" s="1">
        <f xml:space="preserve"> Tableau1[[#This Row],[Prix option]] - 0.5 * (-50) * (Tableau1[[#This Row],[Prix Action]] - $C$2)</f>
        <v>576.70541791446806</v>
      </c>
      <c r="H125" s="8">
        <f>Tableau1[[#This Row],[Prix option]]-Tableau1[[#This Row],[D1]]*Tableau1[[#This Row],[Prix Action]]</f>
        <v>-35.094652655139335</v>
      </c>
      <c r="I125" s="9">
        <f t="shared" si="7"/>
        <v>166.18158234188803</v>
      </c>
    </row>
    <row r="126" spans="1:9" x14ac:dyDescent="0.3">
      <c r="A126">
        <v>122</v>
      </c>
      <c r="B126">
        <f t="shared" si="6"/>
        <v>0.72650095416129468</v>
      </c>
      <c r="C126">
        <f>Tableau1[[#This Row],[D1]]-$E$2*SQRT($B$2)</f>
        <v>-0.17349904583870535</v>
      </c>
      <c r="D126">
        <f>NORMSDIST(Tableau1[[#This Row],[D1]])</f>
        <v>0.7662341386129996</v>
      </c>
      <c r="E126">
        <f>NORMSDIST(Tableau1[[#This Row],[D2]])</f>
        <v>0.43112958890940339</v>
      </c>
      <c r="F126" s="1">
        <f>Tableau1[[#This Row],[Prix Action]]*Tableau1[[#This Row],[Normal(D1)]]-$C$2*EXP(-$A$2*$B$2)*Tableau1[[#This Row],[Normal(D2)]]</f>
        <v>52.470249836433837</v>
      </c>
      <c r="G126" s="1">
        <f xml:space="preserve"> Tableau1[[#This Row],[Prix option]] - 0.5 * (-50) * (Tableau1[[#This Row],[Prix Action]] - $C$2)</f>
        <v>602.47024983643382</v>
      </c>
      <c r="H126" s="8">
        <f>Tableau1[[#This Row],[Prix option]]-Tableau1[[#This Row],[D1]]*Tableau1[[#This Row],[Prix Action]]</f>
        <v>-36.162866571244109</v>
      </c>
      <c r="I126" s="9">
        <f t="shared" si="7"/>
        <v>169.09778153885568</v>
      </c>
    </row>
    <row r="127" spans="1:9" x14ac:dyDescent="0.3">
      <c r="A127">
        <v>123</v>
      </c>
      <c r="B127">
        <f t="shared" si="6"/>
        <v>0.73557129931591791</v>
      </c>
      <c r="C127">
        <f>Tableau1[[#This Row],[D1]]-$E$2*SQRT($B$2)</f>
        <v>-0.16442870068408211</v>
      </c>
      <c r="D127">
        <f>NORMSDIST(Tableau1[[#This Row],[D1]])</f>
        <v>0.76900418282039285</v>
      </c>
      <c r="E127">
        <f>NORMSDIST(Tableau1[[#This Row],[D2]])</f>
        <v>0.4346968355867743</v>
      </c>
      <c r="F127" s="1">
        <f>Tableau1[[#This Row],[Prix Action]]*Tableau1[[#This Row],[Normal(D1)]]-$C$2*EXP(-$A$2*$B$2)*Tableau1[[#This Row],[Normal(D2)]]</f>
        <v>53.237872412159433</v>
      </c>
      <c r="G127" s="1">
        <f xml:space="preserve"> Tableau1[[#This Row],[Prix option]] - 0.5 * (-50) * (Tableau1[[#This Row],[Prix Action]] - $C$2)</f>
        <v>628.23787241215939</v>
      </c>
      <c r="H127" s="8">
        <f>Tableau1[[#This Row],[Prix option]]-Tableau1[[#This Row],[D1]]*Tableau1[[#This Row],[Prix Action]]</f>
        <v>-37.237397403698466</v>
      </c>
      <c r="I127" s="9">
        <f t="shared" si="7"/>
        <v>172.02879038657107</v>
      </c>
    </row>
    <row r="128" spans="1:9" x14ac:dyDescent="0.3">
      <c r="A128">
        <v>124</v>
      </c>
      <c r="B128">
        <f t="shared" si="6"/>
        <v>0.74456819957438392</v>
      </c>
      <c r="C128">
        <f>Tableau1[[#This Row],[D1]]-$E$2*SQRT($B$2)</f>
        <v>-0.15543180042561611</v>
      </c>
      <c r="D128">
        <f>NORMSDIST(Tableau1[[#This Row],[D1]])</f>
        <v>0.77173360089395449</v>
      </c>
      <c r="E128">
        <f>NORMSDIST(Tableau1[[#This Row],[D2]])</f>
        <v>0.43824045784277044</v>
      </c>
      <c r="F128" s="1">
        <f>Tableau1[[#This Row],[Prix Action]]*Tableau1[[#This Row],[Normal(D1)]]-$C$2*EXP(-$A$2*$B$2)*Tableau1[[#This Row],[Normal(D2)]]</f>
        <v>54.00824466017955</v>
      </c>
      <c r="G128" s="1">
        <f xml:space="preserve"> Tableau1[[#This Row],[Prix option]] - 0.5 * (-50) * (Tableau1[[#This Row],[Prix Action]] - $C$2)</f>
        <v>654.00824466017957</v>
      </c>
      <c r="H128" s="8">
        <f>Tableau1[[#This Row],[Prix option]]-Tableau1[[#This Row],[D1]]*Tableau1[[#This Row],[Prix Action]]</f>
        <v>-38.318212087044053</v>
      </c>
      <c r="I128" s="9">
        <f t="shared" si="7"/>
        <v>174.97453835042018</v>
      </c>
    </row>
    <row r="129" spans="1:9" x14ac:dyDescent="0.3">
      <c r="A129">
        <v>125</v>
      </c>
      <c r="B129">
        <f t="shared" si="6"/>
        <v>0.75349283479356644</v>
      </c>
      <c r="C129">
        <f>Tableau1[[#This Row],[D1]]-$E$2*SQRT($B$2)</f>
        <v>-0.14650716520643359</v>
      </c>
      <c r="D129">
        <f>NORMSDIST(Tableau1[[#This Row],[D1]])</f>
        <v>0.774423092299662</v>
      </c>
      <c r="E129">
        <f>NORMSDIST(Tableau1[[#This Row],[D2]])</f>
        <v>0.44176051696791541</v>
      </c>
      <c r="F129" s="1">
        <f>Tableau1[[#This Row],[Prix Action]]*Tableau1[[#This Row],[Normal(D1)]]-$C$2*EXP(-$A$2*$B$2)*Tableau1[[#This Row],[Normal(D2)]]</f>
        <v>54.781326305204942</v>
      </c>
      <c r="G129" s="1">
        <f xml:space="preserve"> Tableau1[[#This Row],[Prix option]] - 0.5 * (-50) * (Tableau1[[#This Row],[Prix Action]] - $C$2)</f>
        <v>679.78132630520497</v>
      </c>
      <c r="H129" s="8">
        <f>Tableau1[[#This Row],[Prix option]]-Tableau1[[#This Row],[D1]]*Tableau1[[#This Row],[Prix Action]]</f>
        <v>-39.405278043990862</v>
      </c>
      <c r="I129" s="9">
        <f t="shared" si="7"/>
        <v>177.93495539218966</v>
      </c>
    </row>
    <row r="130" spans="1:9" x14ac:dyDescent="0.3">
      <c r="A130">
        <v>126</v>
      </c>
      <c r="B130">
        <f t="shared" si="6"/>
        <v>0.76234635662598516</v>
      </c>
      <c r="C130">
        <f>Tableau1[[#This Row],[D1]]-$E$2*SQRT($B$2)</f>
        <v>-0.13765364337401487</v>
      </c>
      <c r="D130">
        <f>NORMSDIST(Tableau1[[#This Row],[D1]])</f>
        <v>0.77707334328550526</v>
      </c>
      <c r="E130">
        <f>NORMSDIST(Tableau1[[#This Row],[D2]])</f>
        <v>0.44525707887370714</v>
      </c>
      <c r="F130" s="1">
        <f>Tableau1[[#This Row],[Prix Action]]*Tableau1[[#This Row],[Normal(D1)]]-$C$2*EXP(-$A$2*$B$2)*Tableau1[[#This Row],[Normal(D2)]]</f>
        <v>55.557077764783109</v>
      </c>
      <c r="G130" s="1">
        <f xml:space="preserve"> Tableau1[[#This Row],[Prix option]] - 0.5 * (-50) * (Tableau1[[#This Row],[Prix Action]] - $C$2)</f>
        <v>705.55707776478312</v>
      </c>
      <c r="H130" s="8">
        <f>Tableau1[[#This Row],[Prix option]]-Tableau1[[#This Row],[D1]]*Tableau1[[#This Row],[Prix Action]]</f>
        <v>-40.498563170091025</v>
      </c>
      <c r="I130" s="9">
        <f t="shared" si="7"/>
        <v>180.90997196317761</v>
      </c>
    </row>
    <row r="131" spans="1:9" x14ac:dyDescent="0.3">
      <c r="A131">
        <v>127</v>
      </c>
      <c r="B131">
        <f t="shared" si="6"/>
        <v>0.77112988941166649</v>
      </c>
      <c r="C131">
        <f>Tableau1[[#This Row],[D1]]-$E$2*SQRT($B$2)</f>
        <v>-0.12887011058833353</v>
      </c>
      <c r="D131">
        <f>NORMSDIST(Tableau1[[#This Row],[D1]])</f>
        <v>0.77968502712221122</v>
      </c>
      <c r="E131">
        <f>NORMSDIST(Tableau1[[#This Row],[D2]])</f>
        <v>0.44873021385691669</v>
      </c>
      <c r="F131" s="1">
        <f>Tableau1[[#This Row],[Prix Action]]*Tableau1[[#This Row],[Normal(D1)]]-$C$2*EXP(-$A$2*$B$2)*Tableau1[[#This Row],[Normal(D2)]]</f>
        <v>56.3354601362011</v>
      </c>
      <c r="G131" s="1">
        <f xml:space="preserve"> Tableau1[[#This Row],[Prix option]] - 0.5 * (-50) * (Tableau1[[#This Row],[Prix Action]] - $C$2)</f>
        <v>731.33546013620105</v>
      </c>
      <c r="H131" s="8">
        <f>Tableau1[[#This Row],[Prix option]]-Tableau1[[#This Row],[D1]]*Tableau1[[#This Row],[Prix Action]]</f>
        <v>-41.598035819080543</v>
      </c>
      <c r="I131" s="9">
        <f t="shared" si="7"/>
        <v>183.89951899780147</v>
      </c>
    </row>
    <row r="132" spans="1:9" x14ac:dyDescent="0.3">
      <c r="A132">
        <v>128</v>
      </c>
      <c r="B132">
        <f t="shared" si="6"/>
        <v>0.77984453103502871</v>
      </c>
      <c r="C132">
        <f>Tableau1[[#This Row],[D1]]-$E$2*SQRT($B$2)</f>
        <v>-0.12015546896497131</v>
      </c>
      <c r="D132">
        <f>NORMSDIST(Tableau1[[#This Row],[D1]])</f>
        <v>0.78225880434169581</v>
      </c>
      <c r="E132">
        <f>NORMSDIST(Tableau1[[#This Row],[D2]])</f>
        <v>0.45217999637349721</v>
      </c>
      <c r="F132" s="1">
        <f>Tableau1[[#This Row],[Prix Action]]*Tableau1[[#This Row],[Normal(D1)]]-$C$2*EXP(-$A$2*$B$2)*Tableau1[[#This Row],[Normal(D2)]]</f>
        <v>57.116435183627395</v>
      </c>
      <c r="G132" s="1">
        <f xml:space="preserve"> Tableau1[[#This Row],[Prix option]] - 0.5 * (-50) * (Tableau1[[#This Row],[Prix Action]] - $C$2)</f>
        <v>757.11643518362735</v>
      </c>
      <c r="H132" s="8">
        <f>Tableau1[[#This Row],[Prix option]]-Tableau1[[#This Row],[D1]]*Tableau1[[#This Row],[Prix Action]]</f>
        <v>-42.70366478885628</v>
      </c>
      <c r="I132" s="9">
        <f t="shared" si="7"/>
        <v>186.90352790737188</v>
      </c>
    </row>
    <row r="133" spans="1:9" x14ac:dyDescent="0.3">
      <c r="A133">
        <v>129</v>
      </c>
      <c r="B133">
        <f t="shared" ref="B133:B164" si="8" xml:space="preserve"> (LN($A133/$C$2) + ($A$2 + ($E$2^2)/2) * $B$2) / ($E$2 * SQRT($B$2))</f>
        <v>0.78849135374842305</v>
      </c>
      <c r="C133">
        <f>Tableau1[[#This Row],[D1]]-$E$2*SQRT($B$2)</f>
        <v>-0.11150864625157697</v>
      </c>
      <c r="D133">
        <f>NORMSDIST(Tableau1[[#This Row],[D1]])</f>
        <v>0.78479532297306809</v>
      </c>
      <c r="E133">
        <f>NORMSDIST(Tableau1[[#This Row],[D2]])</f>
        <v>0.45560650482171666</v>
      </c>
      <c r="F133" s="1">
        <f>Tableau1[[#This Row],[Prix Action]]*Tableau1[[#This Row],[Normal(D1)]]-$C$2*EXP(-$A$2*$B$2)*Tableau1[[#This Row],[Normal(D2)]]</f>
        <v>57.899965325491451</v>
      </c>
      <c r="G133" s="1">
        <f xml:space="preserve"> Tableau1[[#This Row],[Prix option]] - 0.5 * (-50) * (Tableau1[[#This Row],[Prix Action]] - $C$2)</f>
        <v>782.89996532549139</v>
      </c>
      <c r="H133" s="8">
        <f>Tableau1[[#This Row],[Prix option]]-Tableau1[[#This Row],[D1]]*Tableau1[[#This Row],[Prix Action]]</f>
        <v>-43.815419308055127</v>
      </c>
      <c r="I133" s="9">
        <f t="shared" ref="I133:I164" si="9">$F134-$F133-(H134*$A134-$H133*$A133)</f>
        <v>189.92193057433468</v>
      </c>
    </row>
    <row r="134" spans="1:9" x14ac:dyDescent="0.3">
      <c r="A134">
        <v>130</v>
      </c>
      <c r="B134">
        <f t="shared" si="8"/>
        <v>0.79707140496387896</v>
      </c>
      <c r="C134">
        <f>Tableau1[[#This Row],[D1]]-$E$2*SQRT($B$2)</f>
        <v>-0.10292859503612106</v>
      </c>
      <c r="D134">
        <f>NORMSDIST(Tableau1[[#This Row],[D1]])</f>
        <v>0.78729521877602682</v>
      </c>
      <c r="E134">
        <f>NORMSDIST(Tableau1[[#This Row],[D2]])</f>
        <v>0.45900982133414758</v>
      </c>
      <c r="F134" s="1">
        <f>Tableau1[[#This Row],[Prix Action]]*Tableau1[[#This Row],[Normal(D1)]]-$C$2*EXP(-$A$2*$B$2)*Tableau1[[#This Row],[Normal(D2)]]</f>
        <v>58.686013622097803</v>
      </c>
      <c r="G134" s="1">
        <f xml:space="preserve"> Tableau1[[#This Row],[Prix option]] - 0.5 * (-50) * (Tableau1[[#This Row],[Prix Action]] - $C$2)</f>
        <v>808.68601362209779</v>
      </c>
      <c r="H134" s="8">
        <f>Tableau1[[#This Row],[Prix option]]-Tableau1[[#This Row],[D1]]*Tableau1[[#This Row],[Prix Action]]</f>
        <v>-44.933269023206464</v>
      </c>
      <c r="I134" s="9">
        <f t="shared" si="9"/>
        <v>192.95465934670122</v>
      </c>
    </row>
    <row r="135" spans="1:9" x14ac:dyDescent="0.3">
      <c r="A135">
        <v>131</v>
      </c>
      <c r="B135">
        <f t="shared" si="8"/>
        <v>0.80558570801451135</v>
      </c>
      <c r="C135">
        <f>Tableau1[[#This Row],[D1]]-$E$2*SQRT($B$2)</f>
        <v>-9.4414291985488674E-2</v>
      </c>
      <c r="D135">
        <f>NORMSDIST(Tableau1[[#This Row],[D1]])</f>
        <v>0.78975911547151201</v>
      </c>
      <c r="E135">
        <f>NORMSDIST(Tableau1[[#This Row],[D2]])</f>
        <v>0.46239003157815822</v>
      </c>
      <c r="F135" s="1">
        <f>Tableau1[[#This Row],[Prix Action]]*Tableau1[[#This Row],[Normal(D1)]]-$C$2*EXP(-$A$2*$B$2)*Tableau1[[#This Row],[Normal(D2)]]</f>
        <v>59.474543763472226</v>
      </c>
      <c r="G135" s="1">
        <f xml:space="preserve"> Tableau1[[#This Row],[Prix option]] - 0.5 * (-50) * (Tableau1[[#This Row],[Prix Action]] - $C$2)</f>
        <v>834.47454376347218</v>
      </c>
      <c r="H135" s="8">
        <f>Tableau1[[#This Row],[Prix option]]-Tableau1[[#This Row],[D1]]*Tableau1[[#This Row],[Prix Action]]</f>
        <v>-46.057183986428754</v>
      </c>
      <c r="I135" s="9">
        <f t="shared" si="9"/>
        <v>196.00164703279779</v>
      </c>
    </row>
    <row r="136" spans="1:9" x14ac:dyDescent="0.3">
      <c r="A136">
        <v>132</v>
      </c>
      <c r="B136">
        <f t="shared" si="8"/>
        <v>0.81403526288697725</v>
      </c>
      <c r="C136">
        <f>Tableau1[[#This Row],[D1]]-$E$2*SQRT($B$2)</f>
        <v>-8.5964737113022771E-2</v>
      </c>
      <c r="D136">
        <f>NORMSDIST(Tableau1[[#This Row],[D1]])</f>
        <v>0.79218762496949124</v>
      </c>
      <c r="E136">
        <f>NORMSDIST(Tableau1[[#This Row],[D2]])</f>
        <v>0.4657472245645668</v>
      </c>
      <c r="F136" s="1">
        <f>Tableau1[[#This Row],[Prix Action]]*Tableau1[[#This Row],[Normal(D1)]]-$C$2*EXP(-$A$2*$B$2)*Tableau1[[#This Row],[Normal(D2)]]</f>
        <v>60.265520057437065</v>
      </c>
      <c r="G136" s="1">
        <f xml:space="preserve"> Tableau1[[#This Row],[Prix option]] - 0.5 * (-50) * (Tableau1[[#This Row],[Prix Action]] - $C$2)</f>
        <v>860.26552005743702</v>
      </c>
      <c r="H136" s="8">
        <f>Tableau1[[#This Row],[Prix option]]-Tableau1[[#This Row],[D1]]*Tableau1[[#This Row],[Prix Action]]</f>
        <v>-47.187134643643937</v>
      </c>
      <c r="I136" s="9">
        <f t="shared" si="9"/>
        <v>199.06282689622887</v>
      </c>
    </row>
    <row r="137" spans="1:9" x14ac:dyDescent="0.3">
      <c r="A137">
        <v>133</v>
      </c>
      <c r="B137">
        <f t="shared" si="8"/>
        <v>0.82242104692629159</v>
      </c>
      <c r="C137">
        <f>Tableau1[[#This Row],[D1]]-$E$2*SQRT($B$2)</f>
        <v>-7.7578953073708434E-2</v>
      </c>
      <c r="D137">
        <f>NORMSDIST(Tableau1[[#This Row],[D1]])</f>
        <v>0.79458134759377597</v>
      </c>
      <c r="E137">
        <f>NORMSDIST(Tableau1[[#This Row],[D2]])</f>
        <v>0.4690814924641325</v>
      </c>
      <c r="F137" s="1">
        <f>Tableau1[[#This Row],[Prix Action]]*Tableau1[[#This Row],[Normal(D1)]]-$C$2*EXP(-$A$2*$B$2)*Tableau1[[#This Row],[Normal(D2)]]</f>
        <v>61.058907417912927</v>
      </c>
      <c r="G137" s="1">
        <f xml:space="preserve"> Tableau1[[#This Row],[Prix option]] - 0.5 * (-50) * (Tableau1[[#This Row],[Prix Action]] - $C$2)</f>
        <v>886.05890741791291</v>
      </c>
      <c r="H137" s="8">
        <f>Tableau1[[#This Row],[Prix option]]-Tableau1[[#This Row],[D1]]*Tableau1[[#This Row],[Prix Action]]</f>
        <v>-48.323091823283853</v>
      </c>
      <c r="I137" s="9">
        <f t="shared" si="9"/>
        <v>202.13813265109627</v>
      </c>
    </row>
    <row r="138" spans="1:9" x14ac:dyDescent="0.3">
      <c r="A138">
        <v>134</v>
      </c>
      <c r="B138">
        <f t="shared" si="8"/>
        <v>0.83074401551424448</v>
      </c>
      <c r="C138">
        <f>Tableau1[[#This Row],[D1]]-$E$2*SQRT($B$2)</f>
        <v>-6.925598448575554E-2</v>
      </c>
      <c r="D138">
        <f>NORMSDIST(Tableau1[[#This Row],[D1]])</f>
        <v>0.79694087230378052</v>
      </c>
      <c r="E138">
        <f>NORMSDIST(Tableau1[[#This Row],[D2]])</f>
        <v>0.47239293043157082</v>
      </c>
      <c r="F138" s="1">
        <f>Tableau1[[#This Row],[Prix Action]]*Tableau1[[#This Row],[Normal(D1)]]-$C$2*EXP(-$A$2*$B$2)*Tableau1[[#This Row],[Normal(D2)]]</f>
        <v>61.854671353443699</v>
      </c>
      <c r="G138" s="1">
        <f xml:space="preserve"> Tableau1[[#This Row],[Prix option]] - 0.5 * (-50) * (Tableau1[[#This Row],[Prix Action]] - $C$2)</f>
        <v>911.85467135344368</v>
      </c>
      <c r="H138" s="8">
        <f>Tableau1[[#This Row],[Prix option]]-Tableau1[[#This Row],[D1]]*Tableau1[[#This Row],[Prix Action]]</f>
        <v>-49.465026725465059</v>
      </c>
      <c r="I138" s="9">
        <f t="shared" si="9"/>
        <v>205.22749845739452</v>
      </c>
    </row>
    <row r="139" spans="1:9" x14ac:dyDescent="0.3">
      <c r="A139">
        <v>135</v>
      </c>
      <c r="B139">
        <f t="shared" si="8"/>
        <v>0.83900510272259787</v>
      </c>
      <c r="C139">
        <f>Tableau1[[#This Row],[D1]]-$E$2*SQRT($B$2)</f>
        <v>-6.0994897277402149E-2</v>
      </c>
      <c r="D139">
        <f>NORMSDIST(Tableau1[[#This Row],[D1]])</f>
        <v>0.79926677691314518</v>
      </c>
      <c r="E139">
        <f>NORMSDIST(Tableau1[[#This Row],[D2]])</f>
        <v>0.47568163643679345</v>
      </c>
      <c r="F139" s="1">
        <f>Tableau1[[#This Row],[Prix Action]]*Tableau1[[#This Row],[Normal(D1)]]-$C$2*EXP(-$A$2*$B$2)*Tableau1[[#This Row],[Normal(D2)]]</f>
        <v>62.652777955941708</v>
      </c>
      <c r="G139" s="1">
        <f xml:space="preserve"> Tableau1[[#This Row],[Prix option]] - 0.5 * (-50) * (Tableau1[[#This Row],[Prix Action]] - $C$2)</f>
        <v>937.6527779559417</v>
      </c>
      <c r="H139" s="8">
        <f>Tableau1[[#This Row],[Prix option]]-Tableau1[[#This Row],[D1]]*Tableau1[[#This Row],[Prix Action]]</f>
        <v>-50.612910911608999</v>
      </c>
      <c r="I139" s="9">
        <f t="shared" si="9"/>
        <v>208.33085891663578</v>
      </c>
    </row>
    <row r="140" spans="1:9" x14ac:dyDescent="0.3">
      <c r="A140">
        <v>136</v>
      </c>
      <c r="B140">
        <f t="shared" si="8"/>
        <v>0.84720522194217862</v>
      </c>
      <c r="C140">
        <f>Tableau1[[#This Row],[D1]]-$E$2*SQRT($B$2)</f>
        <v>-5.2794778057821401E-2</v>
      </c>
      <c r="D140">
        <f>NORMSDIST(Tableau1[[#This Row],[D1]])</f>
        <v>0.80155962830516314</v>
      </c>
      <c r="E140">
        <f>NORMSDIST(Tableau1[[#This Row],[D2]])</f>
        <v>0.47894771110308559</v>
      </c>
      <c r="F140" s="1">
        <f>Tableau1[[#This Row],[Prix Action]]*Tableau1[[#This Row],[Normal(D1)]]-$C$2*EXP(-$A$2*$B$2)*Tableau1[[#This Row],[Normal(D2)]]</f>
        <v>63.453193889649953</v>
      </c>
      <c r="G140" s="1">
        <f xml:space="preserve"> Tableau1[[#This Row],[Prix option]] - 0.5 * (-50) * (Tableau1[[#This Row],[Prix Action]] - $C$2)</f>
        <v>963.45319388964992</v>
      </c>
      <c r="H140" s="8">
        <f>Tableau1[[#This Row],[Prix option]]-Tableau1[[#This Row],[D1]]*Tableau1[[#This Row],[Prix Action]]</f>
        <v>-51.766716294486343</v>
      </c>
      <c r="I140" s="9">
        <f t="shared" si="9"/>
        <v>211.44814906760718</v>
      </c>
    </row>
    <row r="141" spans="1:9" x14ac:dyDescent="0.3">
      <c r="A141">
        <v>137</v>
      </c>
      <c r="B141">
        <f t="shared" si="8"/>
        <v>0.85534526648892617</v>
      </c>
      <c r="C141">
        <f>Tableau1[[#This Row],[D1]]-$E$2*SQRT($B$2)</f>
        <v>-4.4654733511073852E-2</v>
      </c>
      <c r="D141">
        <f>NORMSDIST(Tableau1[[#This Row],[D1]])</f>
        <v>0.80381998264495691</v>
      </c>
      <c r="E141">
        <f>NORMSDIST(Tableau1[[#This Row],[D2]])</f>
        <v>0.48219125755194303</v>
      </c>
      <c r="F141" s="1">
        <f>Tableau1[[#This Row],[Prix Action]]*Tableau1[[#This Row],[Normal(D1)]]-$C$2*EXP(-$A$2*$B$2)*Tableau1[[#This Row],[Normal(D2)]]</f>
        <v>64.25588638031806</v>
      </c>
      <c r="G141" s="1">
        <f xml:space="preserve"> Tableau1[[#This Row],[Prix option]] - 0.5 * (-50) * (Tableau1[[#This Row],[Prix Action]] - $C$2)</f>
        <v>989.25588638031809</v>
      </c>
      <c r="H141" s="8">
        <f>Tableau1[[#This Row],[Prix option]]-Tableau1[[#This Row],[D1]]*Tableau1[[#This Row],[Prix Action]]</f>
        <v>-52.926415128664829</v>
      </c>
      <c r="I141" s="9">
        <f t="shared" si="9"/>
        <v>214.57930438235769</v>
      </c>
    </row>
    <row r="142" spans="1:9" x14ac:dyDescent="0.3">
      <c r="A142">
        <v>138</v>
      </c>
      <c r="B142">
        <f t="shared" si="8"/>
        <v>0.86342611018790361</v>
      </c>
      <c r="C142">
        <f>Tableau1[[#This Row],[D1]]-$E$2*SQRT($B$2)</f>
        <v>-3.6573889812096416E-2</v>
      </c>
      <c r="D142">
        <f>NORMSDIST(Tableau1[[#This Row],[D1]])</f>
        <v>0.80604838558836556</v>
      </c>
      <c r="E142">
        <f>NORMSDIST(Tableau1[[#This Row],[D2]])</f>
        <v>0.48541238125430686</v>
      </c>
      <c r="F142" s="1">
        <f>Tableau1[[#This Row],[Prix Action]]*Tableau1[[#This Row],[Normal(D1)]]-$C$2*EXP(-$A$2*$B$2)*Tableau1[[#This Row],[Normal(D2)]]</f>
        <v>65.0608232045889</v>
      </c>
      <c r="G142" s="1">
        <f xml:space="preserve"> Tableau1[[#This Row],[Prix option]] - 0.5 * (-50) * (Tableau1[[#This Row],[Prix Action]] - $C$2)</f>
        <v>1015.0608232045889</v>
      </c>
      <c r="H142" s="8">
        <f>Tableau1[[#This Row],[Prix option]]-Tableau1[[#This Row],[D1]]*Tableau1[[#This Row],[Prix Action]]</f>
        <v>-54.091980001341796</v>
      </c>
      <c r="I142" s="9">
        <f t="shared" si="9"/>
        <v>217.72426076226611</v>
      </c>
    </row>
    <row r="143" spans="1:9" x14ac:dyDescent="0.3">
      <c r="A143">
        <v>139</v>
      </c>
      <c r="B143">
        <f t="shared" si="8"/>
        <v>0.87144860793622259</v>
      </c>
      <c r="C143">
        <f>Tableau1[[#This Row],[D1]]-$E$2*SQRT($B$2)</f>
        <v>-2.8551392063777437E-2</v>
      </c>
      <c r="D143">
        <f>NORMSDIST(Tableau1[[#This Row],[D1]])</f>
        <v>0.80824537248750783</v>
      </c>
      <c r="E143">
        <f>NORMSDIST(Tableau1[[#This Row],[D2]])</f>
        <v>0.48861118988793878</v>
      </c>
      <c r="F143" s="1">
        <f>Tableau1[[#This Row],[Prix Action]]*Tableau1[[#This Row],[Normal(D1)]]-$C$2*EXP(-$A$2*$B$2)*Tableau1[[#This Row],[Normal(D2)]]</f>
        <v>65.86797267959227</v>
      </c>
      <c r="G143" s="1">
        <f xml:space="preserve"> Tableau1[[#This Row],[Prix option]] - 0.5 * (-50) * (Tableau1[[#This Row],[Prix Action]] - $C$2)</f>
        <v>1040.8679726795922</v>
      </c>
      <c r="H143" s="8">
        <f>Tableau1[[#This Row],[Prix option]]-Tableau1[[#This Row],[D1]]*Tableau1[[#This Row],[Prix Action]]</f>
        <v>-55.263383823542668</v>
      </c>
      <c r="I143" s="9">
        <f t="shared" si="9"/>
        <v>220.88295453426525</v>
      </c>
    </row>
    <row r="144" spans="1:9" x14ac:dyDescent="0.3">
      <c r="A144">
        <v>140</v>
      </c>
      <c r="B144">
        <f t="shared" si="8"/>
        <v>0.87941359624579207</v>
      </c>
      <c r="C144">
        <f>Tableau1[[#This Row],[D1]]-$E$2*SQRT($B$2)</f>
        <v>-2.0586403754207949E-2</v>
      </c>
      <c r="D144">
        <f>NORMSDIST(Tableau1[[#This Row],[D1]])</f>
        <v>0.81041146859300051</v>
      </c>
      <c r="E144">
        <f>NORMSDIST(Tableau1[[#This Row],[D2]])</f>
        <v>0.49178779320069532</v>
      </c>
      <c r="F144" s="1">
        <f>Tableau1[[#This Row],[Prix Action]]*Tableau1[[#This Row],[Normal(D1)]]-$C$2*EXP(-$A$2*$B$2)*Tableau1[[#This Row],[Normal(D2)]]</f>
        <v>66.677303652742708</v>
      </c>
      <c r="G144" s="1">
        <f xml:space="preserve"> Tableau1[[#This Row],[Prix option]] - 0.5 * (-50) * (Tableau1[[#This Row],[Prix Action]] - $C$2)</f>
        <v>1066.6773036527427</v>
      </c>
      <c r="H144" s="8">
        <f>Tableau1[[#This Row],[Prix option]]-Tableau1[[#This Row],[D1]]*Tableau1[[#This Row],[Prix Action]]</f>
        <v>-56.440599821668187</v>
      </c>
      <c r="I144" s="9">
        <f t="shared" si="9"/>
        <v>224.05532244724955</v>
      </c>
    </row>
    <row r="145" spans="1:9" x14ac:dyDescent="0.3">
      <c r="A145">
        <v>141</v>
      </c>
      <c r="B145">
        <f t="shared" si="8"/>
        <v>0.88732189376675208</v>
      </c>
      <c r="C145">
        <f>Tableau1[[#This Row],[D1]]-$E$2*SQRT($B$2)</f>
        <v>-1.2678106233247943E-2</v>
      </c>
      <c r="D145">
        <f>NORMSDIST(Tableau1[[#This Row],[D1]])</f>
        <v>0.81254718925281433</v>
      </c>
      <c r="E145">
        <f>NORMSDIST(Tableau1[[#This Row],[D2]])</f>
        <v>0.49494230287946589</v>
      </c>
      <c r="F145" s="1">
        <f>Tableau1[[#This Row],[Prix Action]]*Tableau1[[#This Row],[Normal(D1)]]-$C$2*EXP(-$A$2*$B$2)*Tableau1[[#This Row],[Normal(D2)]]</f>
        <v>67.488785491737573</v>
      </c>
      <c r="G145" s="1">
        <f xml:space="preserve"> Tableau1[[#This Row],[Prix option]] - 0.5 * (-50) * (Tableau1[[#This Row],[Prix Action]] - $C$2)</f>
        <v>1092.4887854917376</v>
      </c>
      <c r="H145" s="8">
        <f>Tableau1[[#This Row],[Prix option]]-Tableau1[[#This Row],[D1]]*Tableau1[[#This Row],[Prix Action]]</f>
        <v>-57.623601529374469</v>
      </c>
      <c r="I145" s="9">
        <f t="shared" si="9"/>
        <v>227.24130166853269</v>
      </c>
    </row>
    <row r="146" spans="1:9" x14ac:dyDescent="0.3">
      <c r="A146">
        <v>142</v>
      </c>
      <c r="B146">
        <f t="shared" si="8"/>
        <v>0.89517430179241031</v>
      </c>
      <c r="C146">
        <f>Tableau1[[#This Row],[D1]]-$E$2*SQRT($B$2)</f>
        <v>-4.8256982075897126E-3</v>
      </c>
      <c r="D146">
        <f>NORMSDIST(Tableau1[[#This Row],[D1]])</f>
        <v>0.81465304010776007</v>
      </c>
      <c r="E146">
        <f>NORMSDIST(Tableau1[[#This Row],[D2]])</f>
        <v>0.4980748324245507</v>
      </c>
      <c r="F146" s="1">
        <f>Tableau1[[#This Row],[Prix Action]]*Tableau1[[#This Row],[Normal(D1)]]-$C$2*EXP(-$A$2*$B$2)*Tableau1[[#This Row],[Normal(D2)]]</f>
        <v>68.302388074752429</v>
      </c>
      <c r="G146" s="1">
        <f xml:space="preserve"> Tableau1[[#This Row],[Prix option]] - 0.5 * (-50) * (Tableau1[[#This Row],[Prix Action]] - $C$2)</f>
        <v>1118.3023880747523</v>
      </c>
      <c r="H146" s="8">
        <f>Tableau1[[#This Row],[Prix option]]-Tableau1[[#This Row],[D1]]*Tableau1[[#This Row],[Prix Action]]</f>
        <v>-58.812362779769842</v>
      </c>
      <c r="I146" s="9">
        <f t="shared" si="9"/>
        <v>230.44082978042059</v>
      </c>
    </row>
    <row r="147" spans="1:9" x14ac:dyDescent="0.3">
      <c r="A147">
        <v>143</v>
      </c>
      <c r="B147">
        <f t="shared" si="8"/>
        <v>0.9029716047464621</v>
      </c>
      <c r="C147">
        <f>Tableau1[[#This Row],[D1]]-$E$2*SQRT($B$2)</f>
        <v>2.9716047464620754E-3</v>
      </c>
      <c r="D147">
        <f>NORMSDIST(Tableau1[[#This Row],[D1]])</f>
        <v>0.81672951728360377</v>
      </c>
      <c r="E147">
        <f>NORMSDIST(Tableau1[[#This Row],[D2]])</f>
        <v>0.50118549702926263</v>
      </c>
      <c r="F147" s="1">
        <f>Tableau1[[#This Row],[Prix Action]]*Tableau1[[#This Row],[Normal(D1)]]-$C$2*EXP(-$A$2*$B$2)*Tableau1[[#This Row],[Normal(D2)]]</f>
        <v>69.118081780830352</v>
      </c>
      <c r="G147" s="1">
        <f xml:space="preserve"> Tableau1[[#This Row],[Prix option]] - 0.5 * (-50) * (Tableau1[[#This Row],[Prix Action]] - $C$2)</f>
        <v>1144.1180817808304</v>
      </c>
      <c r="H147" s="8">
        <f>Tableau1[[#This Row],[Prix option]]-Tableau1[[#This Row],[D1]]*Tableau1[[#This Row],[Prix Action]]</f>
        <v>-60.006857697913716</v>
      </c>
      <c r="I147" s="9">
        <f t="shared" si="9"/>
        <v>233.65384477696568</v>
      </c>
    </row>
    <row r="148" spans="1:9" x14ac:dyDescent="0.3">
      <c r="A148">
        <v>144</v>
      </c>
      <c r="B148">
        <f t="shared" si="8"/>
        <v>0.91071457065323247</v>
      </c>
      <c r="C148">
        <f>Tableau1[[#This Row],[D1]]-$E$2*SQRT($B$2)</f>
        <v>1.0714570653232447E-2</v>
      </c>
      <c r="D148">
        <f>NORMSDIST(Tableau1[[#This Row],[D1]])</f>
        <v>0.81877710757981192</v>
      </c>
      <c r="E148">
        <f>NORMSDIST(Tableau1[[#This Row],[D2]])</f>
        <v>0.5042744134645466</v>
      </c>
      <c r="F148" s="1">
        <f>Tableau1[[#This Row],[Prix Action]]*Tableau1[[#This Row],[Normal(D1)]]-$C$2*EXP(-$A$2*$B$2)*Tableau1[[#This Row],[Normal(D2)]]</f>
        <v>69.935837480461331</v>
      </c>
      <c r="G148" s="1">
        <f xml:space="preserve"> Tableau1[[#This Row],[Prix option]] - 0.5 * (-50) * (Tableau1[[#This Row],[Prix Action]] - $C$2)</f>
        <v>1169.9358374804613</v>
      </c>
      <c r="H148" s="8">
        <f>Tableau1[[#This Row],[Prix option]]-Tableau1[[#This Row],[D1]]*Tableau1[[#This Row],[Prix Action]]</f>
        <v>-61.207060693604134</v>
      </c>
      <c r="I148" s="9">
        <f t="shared" si="9"/>
        <v>236.8802850606599</v>
      </c>
    </row>
    <row r="149" spans="1:9" x14ac:dyDescent="0.3">
      <c r="A149">
        <v>145</v>
      </c>
      <c r="B149">
        <f t="shared" si="8"/>
        <v>0.91840395159164778</v>
      </c>
      <c r="C149">
        <f>Tableau1[[#This Row],[D1]]-$E$2*SQRT($B$2)</f>
        <v>1.840395159164776E-2</v>
      </c>
      <c r="D149">
        <f>NORMSDIST(Tableau1[[#This Row],[D1]])</f>
        <v>0.82079628865494014</v>
      </c>
      <c r="E149">
        <f>NORMSDIST(Tableau1[[#This Row],[D2]])</f>
        <v>0.5073416999684176</v>
      </c>
      <c r="F149" s="1">
        <f>Tableau1[[#This Row],[Prix Action]]*Tableau1[[#This Row],[Normal(D1)]]-$C$2*EXP(-$A$2*$B$2)*Tableau1[[#This Row],[Normal(D2)]]</f>
        <v>70.755626526349147</v>
      </c>
      <c r="G149" s="1">
        <f xml:space="preserve"> Tableau1[[#This Row],[Prix option]] - 0.5 * (-50) * (Tableau1[[#This Row],[Prix Action]] - $C$2)</f>
        <v>1195.7556265263493</v>
      </c>
      <c r="H149" s="8">
        <f>Tableau1[[#This Row],[Prix option]]-Tableau1[[#This Row],[D1]]*Tableau1[[#This Row],[Prix Action]]</f>
        <v>-62.412946454439776</v>
      </c>
      <c r="I149" s="9">
        <f t="shared" si="9"/>
        <v>240.12008943938037</v>
      </c>
    </row>
    <row r="150" spans="1:9" x14ac:dyDescent="0.3">
      <c r="A150">
        <v>146</v>
      </c>
      <c r="B150">
        <f t="shared" si="8"/>
        <v>0.92604048413360562</v>
      </c>
      <c r="C150">
        <f>Tableau1[[#This Row],[D1]]-$E$2*SQRT($B$2)</f>
        <v>2.6040484133605601E-2</v>
      </c>
      <c r="D150">
        <f>NORMSDIST(Tableau1[[#This Row],[D1]])</f>
        <v>0.82278752920867571</v>
      </c>
      <c r="E150">
        <f>NORMSDIST(Tableau1[[#This Row],[D2]])</f>
        <v>0.51038747614002733</v>
      </c>
      <c r="F150" s="1">
        <f>Tableau1[[#This Row],[Prix Action]]*Tableau1[[#This Row],[Normal(D1)]]-$C$2*EXP(-$A$2*$B$2)*Tableau1[[#This Row],[Normal(D2)]]</f>
        <v>71.577420744361646</v>
      </c>
      <c r="G150" s="1">
        <f xml:space="preserve"> Tableau1[[#This Row],[Prix option]] - 0.5 * (-50) * (Tableau1[[#This Row],[Prix Action]] - $C$2)</f>
        <v>1221.5774207443617</v>
      </c>
      <c r="H150" s="8">
        <f>Tableau1[[#This Row],[Prix option]]-Tableau1[[#This Row],[D1]]*Tableau1[[#This Row],[Prix Action]]</f>
        <v>-63.624489939144766</v>
      </c>
      <c r="I150" s="9">
        <f t="shared" si="9"/>
        <v>243.37319712331032</v>
      </c>
    </row>
    <row r="151" spans="1:9" x14ac:dyDescent="0.3">
      <c r="A151">
        <v>147</v>
      </c>
      <c r="B151">
        <f t="shared" si="8"/>
        <v>0.93362488976738323</v>
      </c>
      <c r="C151">
        <f>Tableau1[[#This Row],[D1]]-$E$2*SQRT($B$2)</f>
        <v>3.3624889767383204E-2</v>
      </c>
      <c r="D151">
        <f>NORMSDIST(Tableau1[[#This Row],[D1]])</f>
        <v>0.82475128916055318</v>
      </c>
      <c r="E151">
        <f>NORMSDIST(Tableau1[[#This Row],[D2]])</f>
        <v>0.51341186283817664</v>
      </c>
      <c r="F151" s="1">
        <f>Tableau1[[#This Row],[Prix Action]]*Tableau1[[#This Row],[Normal(D1)]]-$C$2*EXP(-$A$2*$B$2)*Tableau1[[#This Row],[Normal(D2)]]</f>
        <v>72.401192424661502</v>
      </c>
      <c r="G151" s="1">
        <f xml:space="preserve"> Tableau1[[#This Row],[Prix option]] - 0.5 * (-50) * (Tableau1[[#This Row],[Prix Action]] - $C$2)</f>
        <v>1247.4011924246615</v>
      </c>
      <c r="H151" s="8">
        <f>Tableau1[[#This Row],[Prix option]]-Tableau1[[#This Row],[D1]]*Tableau1[[#This Row],[Prix Action]]</f>
        <v>-64.841666371143845</v>
      </c>
      <c r="I151" s="9">
        <f t="shared" si="9"/>
        <v>246.63954772192557</v>
      </c>
    </row>
    <row r="152" spans="1:9" x14ac:dyDescent="0.3">
      <c r="A152">
        <v>148</v>
      </c>
      <c r="B152">
        <f t="shared" si="8"/>
        <v>0.94115787530669293</v>
      </c>
      <c r="C152">
        <f>Tableau1[[#This Row],[D1]]-$E$2*SQRT($B$2)</f>
        <v>4.1157875306692904E-2</v>
      </c>
      <c r="D152">
        <f>NORMSDIST(Tableau1[[#This Row],[D1]])</f>
        <v>0.82668801982536699</v>
      </c>
      <c r="E152">
        <f>NORMSDIST(Tableau1[[#This Row],[D2]])</f>
        <v>0.51641498208409731</v>
      </c>
      <c r="F152" s="1">
        <f>Tableau1[[#This Row],[Prix Action]]*Tableau1[[#This Row],[Normal(D1)]]-$C$2*EXP(-$A$2*$B$2)*Tableau1[[#This Row],[Normal(D2)]]</f>
        <v>73.226914313014078</v>
      </c>
      <c r="G152" s="1">
        <f xml:space="preserve"> Tableau1[[#This Row],[Prix option]] - 0.5 * (-50) * (Tableau1[[#This Row],[Prix Action]] - $C$2)</f>
        <v>1273.226914313014</v>
      </c>
      <c r="H152" s="8">
        <f>Tableau1[[#This Row],[Prix option]]-Tableau1[[#This Row],[D1]]*Tableau1[[#This Row],[Prix Action]]</f>
        <v>-66.064451232376484</v>
      </c>
      <c r="I152" s="9">
        <f t="shared" si="9"/>
        <v>249.91908124113604</v>
      </c>
    </row>
    <row r="153" spans="1:9" x14ac:dyDescent="0.3">
      <c r="A153">
        <v>149</v>
      </c>
      <c r="B153">
        <f t="shared" si="8"/>
        <v>0.94864013328596419</v>
      </c>
      <c r="C153">
        <f>Tableau1[[#This Row],[D1]]-$E$2*SQRT($B$2)</f>
        <v>4.8640133285964171E-2</v>
      </c>
      <c r="D153">
        <f>NORMSDIST(Tableau1[[#This Row],[D1]])</f>
        <v>0.82859816408530396</v>
      </c>
      <c r="E153">
        <f>NORMSDIST(Tableau1[[#This Row],[D2]])</f>
        <v>0.51939695696833588</v>
      </c>
      <c r="F153" s="1">
        <f>Tableau1[[#This Row],[Prix Action]]*Tableau1[[#This Row],[Normal(D1)]]-$C$2*EXP(-$A$2*$B$2)*Tableau1[[#This Row],[Normal(D2)]]</f>
        <v>74.054559602269052</v>
      </c>
      <c r="G153" s="1">
        <f xml:space="preserve"> Tableau1[[#This Row],[Prix option]] - 0.5 * (-50) * (Tableau1[[#This Row],[Prix Action]] - $C$2)</f>
        <v>1299.0545596022691</v>
      </c>
      <c r="H153" s="8">
        <f>Tableau1[[#This Row],[Prix option]]-Tableau1[[#This Row],[D1]]*Tableau1[[#This Row],[Prix Action]]</f>
        <v>-67.292820257339599</v>
      </c>
      <c r="I153" s="9">
        <f t="shared" si="9"/>
        <v>253.21173808037861</v>
      </c>
    </row>
    <row r="154" spans="1:9" x14ac:dyDescent="0.3">
      <c r="A154">
        <v>150</v>
      </c>
      <c r="B154">
        <f t="shared" si="8"/>
        <v>0.9560723423424049</v>
      </c>
      <c r="C154">
        <f>Tableau1[[#This Row],[D1]]-$E$2*SQRT($B$2)</f>
        <v>5.6072342342404879E-2</v>
      </c>
      <c r="D154">
        <f>NORMSDIST(Tableau1[[#This Row],[D1]])</f>
        <v>0.83048215655882651</v>
      </c>
      <c r="E154">
        <f>NORMSDIST(Tableau1[[#This Row],[D2]])</f>
        <v>0.52235791156157796</v>
      </c>
      <c r="F154" s="1">
        <f>Tableau1[[#This Row],[Prix Action]]*Tableau1[[#This Row],[Normal(D1)]]-$C$2*EXP(-$A$2*$B$2)*Tableau1[[#This Row],[Normal(D2)]]</f>
        <v>74.884101924012512</v>
      </c>
      <c r="G154" s="1">
        <f xml:space="preserve"> Tableau1[[#This Row],[Prix option]] - 0.5 * (-50) * (Tableau1[[#This Row],[Prix Action]] - $C$2)</f>
        <v>1324.8841019240126</v>
      </c>
      <c r="H154" s="8">
        <f>Tableau1[[#This Row],[Prix option]]-Tableau1[[#This Row],[D1]]*Tableau1[[#This Row],[Prix Action]]</f>
        <v>-68.526749427348236</v>
      </c>
      <c r="I154" s="9">
        <f t="shared" si="9"/>
        <v>256.51745902983555</v>
      </c>
    </row>
    <row r="155" spans="1:9" x14ac:dyDescent="0.3">
      <c r="A155">
        <v>151</v>
      </c>
      <c r="B155">
        <f t="shared" si="8"/>
        <v>0.96345516758536998</v>
      </c>
      <c r="C155">
        <f>Tableau1[[#This Row],[D1]]-$E$2*SQRT($B$2)</f>
        <v>6.3455167585369954E-2</v>
      </c>
      <c r="D155">
        <f>NORMSDIST(Tableau1[[#This Row],[D1]])</f>
        <v>0.83234042376633632</v>
      </c>
      <c r="E155">
        <f>NORMSDIST(Tableau1[[#This Row],[D2]])</f>
        <v>0.52529797082925533</v>
      </c>
      <c r="F155" s="1">
        <f>Tableau1[[#This Row],[Prix Action]]*Tableau1[[#This Row],[Normal(D1)]]-$C$2*EXP(-$A$2*$B$2)*Tableau1[[#This Row],[Normal(D2)]]</f>
        <v>75.715515340386247</v>
      </c>
      <c r="G155" s="1">
        <f xml:space="preserve"> Tableau1[[#This Row],[Prix option]] - 0.5 * (-50) * (Tableau1[[#This Row],[Prix Action]] - $C$2)</f>
        <v>1350.7155153403862</v>
      </c>
      <c r="H155" s="8">
        <f>Tableau1[[#This Row],[Prix option]]-Tableau1[[#This Row],[D1]]*Tableau1[[#This Row],[Prix Action]]</f>
        <v>-69.766214965004622</v>
      </c>
      <c r="I155" s="9">
        <f t="shared" si="9"/>
        <v>259.8361852677304</v>
      </c>
    </row>
    <row r="156" spans="1:9" x14ac:dyDescent="0.3">
      <c r="A156">
        <v>152</v>
      </c>
      <c r="B156">
        <f t="shared" si="8"/>
        <v>0.9707892609535389</v>
      </c>
      <c r="C156">
        <f>Tableau1[[#This Row],[D1]]-$E$2*SQRT($B$2)</f>
        <v>7.0789260953538879E-2</v>
      </c>
      <c r="D156">
        <f>NORMSDIST(Tableau1[[#This Row],[D1]])</f>
        <v>0.83417338429265364</v>
      </c>
      <c r="E156">
        <f>NORMSDIST(Tableau1[[#This Row],[D2]])</f>
        <v>0.52821726054979123</v>
      </c>
      <c r="F156" s="1">
        <f>Tableau1[[#This Row],[Prix Action]]*Tableau1[[#This Row],[Normal(D1)]]-$C$2*EXP(-$A$2*$B$2)*Tableau1[[#This Row],[Normal(D2)]]</f>
        <v>76.54877433607119</v>
      </c>
      <c r="G156" s="1">
        <f xml:space="preserve"> Tableau1[[#This Row],[Prix option]] - 0.5 * (-50) * (Tableau1[[#This Row],[Prix Action]] - $C$2)</f>
        <v>1376.5487743360711</v>
      </c>
      <c r="H156" s="8">
        <f>Tableau1[[#This Row],[Prix option]]-Tableau1[[#This Row],[D1]]*Tableau1[[#This Row],[Prix Action]]</f>
        <v>-71.011193328866725</v>
      </c>
      <c r="I156" s="9">
        <f t="shared" si="9"/>
        <v>263.16785835751466</v>
      </c>
    </row>
    <row r="157" spans="1:9" x14ac:dyDescent="0.3">
      <c r="A157">
        <v>153</v>
      </c>
      <c r="B157">
        <f t="shared" si="8"/>
        <v>0.97807526156038227</v>
      </c>
      <c r="C157">
        <f>Tableau1[[#This Row],[D1]]-$E$2*SQRT($B$2)</f>
        <v>7.8075261560382248E-2</v>
      </c>
      <c r="D157">
        <f>NORMSDIST(Tableau1[[#This Row],[D1]])</f>
        <v>0.83598144894634885</v>
      </c>
      <c r="E157">
        <f>NORMSDIST(Tableau1[[#This Row],[D2]])</f>
        <v>0.53111590723633539</v>
      </c>
      <c r="F157" s="1">
        <f>Tableau1[[#This Row],[Prix Action]]*Tableau1[[#This Row],[Normal(D1)]]-$C$2*EXP(-$A$2*$B$2)*Tableau1[[#This Row],[Normal(D2)]]</f>
        <v>77.383853810431972</v>
      </c>
      <c r="G157" s="1">
        <f xml:space="preserve"> Tableau1[[#This Row],[Prix option]] - 0.5 * (-50) * (Tableau1[[#This Row],[Prix Action]] - $C$2)</f>
        <v>1402.3838538104319</v>
      </c>
      <c r="H157" s="8">
        <f>Tableau1[[#This Row],[Prix option]]-Tableau1[[#This Row],[D1]]*Tableau1[[#This Row],[Prix Action]]</f>
        <v>-72.261661208306506</v>
      </c>
      <c r="I157" s="9">
        <f t="shared" si="9"/>
        <v>266.51242024534247</v>
      </c>
    </row>
    <row r="158" spans="1:9" x14ac:dyDescent="0.3">
      <c r="A158">
        <v>154</v>
      </c>
      <c r="B158">
        <f t="shared" si="8"/>
        <v>0.98531379602837532</v>
      </c>
      <c r="C158">
        <f>Tableau1[[#This Row],[D1]]-$E$2*SQRT($B$2)</f>
        <v>8.5313796028375299E-2</v>
      </c>
      <c r="D158">
        <f>NORMSDIST(Tableau1[[#This Row],[D1]])</f>
        <v>0.83776502091596095</v>
      </c>
      <c r="E158">
        <f>NORMSDIST(Tableau1[[#This Row],[D2]])</f>
        <v>0.53399403806185597</v>
      </c>
      <c r="F158" s="1">
        <f>Tableau1[[#This Row],[Prix Action]]*Tableau1[[#This Row],[Normal(D1)]]-$C$2*EXP(-$A$2*$B$2)*Tableau1[[#This Row],[Normal(D2)]]</f>
        <v>78.220729069818816</v>
      </c>
      <c r="G158" s="1">
        <f xml:space="preserve"> Tableau1[[#This Row],[Prix option]] - 0.5 * (-50) * (Tableau1[[#This Row],[Prix Action]] - $C$2)</f>
        <v>1428.2207290698188</v>
      </c>
      <c r="H158" s="8">
        <f>Tableau1[[#This Row],[Prix option]]-Tableau1[[#This Row],[D1]]*Tableau1[[#This Row],[Prix Action]]</f>
        <v>-73.517595518550991</v>
      </c>
      <c r="I158" s="9">
        <f t="shared" si="9"/>
        <v>269.86981325735326</v>
      </c>
    </row>
    <row r="159" spans="1:9" x14ac:dyDescent="0.3">
      <c r="A159">
        <v>155</v>
      </c>
      <c r="B159">
        <f t="shared" si="8"/>
        <v>0.9925054788123947</v>
      </c>
      <c r="C159">
        <f>Tableau1[[#This Row],[D1]]-$E$2*SQRT($B$2)</f>
        <v>9.2505478812394681E-2</v>
      </c>
      <c r="D159">
        <f>NORMSDIST(Tableau1[[#This Row],[D1]])</f>
        <v>0.83952449592314649</v>
      </c>
      <c r="E159">
        <f>NORMSDIST(Tableau1[[#This Row],[D2]])</f>
        <v>0.53685178078745377</v>
      </c>
      <c r="F159" s="1">
        <f>Tableau1[[#This Row],[Prix Action]]*Tableau1[[#This Row],[Normal(D1)]]-$C$2*EXP(-$A$2*$B$2)*Tableau1[[#This Row],[Normal(D2)]]</f>
        <v>79.0593758200244</v>
      </c>
      <c r="G159" s="1">
        <f xml:space="preserve"> Tableau1[[#This Row],[Prix option]] - 0.5 * (-50) * (Tableau1[[#This Row],[Prix Action]] - $C$2)</f>
        <v>1454.0593758200243</v>
      </c>
      <c r="H159" s="8">
        <f>Tableau1[[#This Row],[Prix option]]-Tableau1[[#This Row],[D1]]*Tableau1[[#This Row],[Prix Action]]</f>
        <v>-74.77897339589677</v>
      </c>
      <c r="I159" s="9">
        <f t="shared" si="9"/>
        <v>273.23998009716558</v>
      </c>
    </row>
    <row r="160" spans="1:9" x14ac:dyDescent="0.3">
      <c r="A160">
        <v>156</v>
      </c>
      <c r="B160">
        <f t="shared" si="8"/>
        <v>0.99965091251271754</v>
      </c>
      <c r="C160">
        <f>Tableau1[[#This Row],[D1]]-$E$2*SQRT($B$2)</f>
        <v>9.9650912512717515E-2</v>
      </c>
      <c r="D160">
        <f>NORMSDIST(Tableau1[[#This Row],[D1]])</f>
        <v>0.84126026237279783</v>
      </c>
      <c r="E160">
        <f>NORMSDIST(Tableau1[[#This Row],[D2]])</f>
        <v>0.53968926369377312</v>
      </c>
      <c r="F160" s="1">
        <f>Tableau1[[#This Row],[Prix Action]]*Tableau1[[#This Row],[Normal(D1)]]-$C$2*EXP(-$A$2*$B$2)*Tableau1[[#This Row],[Normal(D2)]]</f>
        <v>79.899770158892281</v>
      </c>
      <c r="G160" s="1">
        <f xml:space="preserve"> Tableau1[[#This Row],[Prix option]] - 0.5 * (-50) * (Tableau1[[#This Row],[Prix Action]] - $C$2)</f>
        <v>1479.8997701588924</v>
      </c>
      <c r="H160" s="8">
        <f>Tableau1[[#This Row],[Prix option]]-Tableau1[[#This Row],[D1]]*Tableau1[[#This Row],[Prix Action]]</f>
        <v>-76.045772193091651</v>
      </c>
      <c r="I160" s="9">
        <f t="shared" si="9"/>
        <v>276.62286384325216</v>
      </c>
    </row>
    <row r="161" spans="1:9" x14ac:dyDescent="0.3">
      <c r="A161">
        <v>157</v>
      </c>
      <c r="B161">
        <f t="shared" si="8"/>
        <v>1.0067506881780186</v>
      </c>
      <c r="C161">
        <f>Tableau1[[#This Row],[D1]]-$E$2*SQRT($B$2)</f>
        <v>0.10675068817801858</v>
      </c>
      <c r="D161">
        <f>NORMSDIST(Tableau1[[#This Row],[D1]])</f>
        <v>0.84297270150017301</v>
      </c>
      <c r="E161">
        <f>NORMSDIST(Tableau1[[#This Row],[D2]])</f>
        <v>0.54250661551538737</v>
      </c>
      <c r="F161" s="1">
        <f>Tableau1[[#This Row],[Prix Action]]*Tableau1[[#This Row],[Normal(D1)]]-$C$2*EXP(-$A$2*$B$2)*Tableau1[[#This Row],[Normal(D2)]]</f>
        <v>80.74188856907395</v>
      </c>
      <c r="G161" s="1">
        <f xml:space="preserve"> Tableau1[[#This Row],[Prix option]] - 0.5 * (-50) * (Tableau1[[#This Row],[Prix Action]] - $C$2)</f>
        <v>1505.741888569074</v>
      </c>
      <c r="H161" s="8">
        <f>Tableau1[[#This Row],[Prix option]]-Tableau1[[#This Row],[D1]]*Tableau1[[#This Row],[Prix Action]]</f>
        <v>-77.317969474874957</v>
      </c>
      <c r="I161" s="9">
        <f t="shared" si="9"/>
        <v>280.01840794650411</v>
      </c>
    </row>
    <row r="162" spans="1:9" x14ac:dyDescent="0.3">
      <c r="A162">
        <v>158</v>
      </c>
      <c r="B162">
        <f t="shared" si="8"/>
        <v>1.0138053855987506</v>
      </c>
      <c r="C162">
        <f>Tableau1[[#This Row],[D1]]-$E$2*SQRT($B$2)</f>
        <v>0.11380538559875053</v>
      </c>
      <c r="D162">
        <f>NORMSDIST(Tableau1[[#This Row],[D1]])</f>
        <v>0.84466218751508104</v>
      </c>
      <c r="E162">
        <f>NORMSDIST(Tableau1[[#This Row],[D2]])</f>
        <v>0.54530396537804193</v>
      </c>
      <c r="F162" s="1">
        <f>Tableau1[[#This Row],[Prix Action]]*Tableau1[[#This Row],[Normal(D1)]]-$C$2*EXP(-$A$2*$B$2)*Tableau1[[#This Row],[Normal(D2)]]</f>
        <v>81.585707910931603</v>
      </c>
      <c r="G162" s="1">
        <f xml:space="preserve"> Tableau1[[#This Row],[Prix option]] - 0.5 * (-50) * (Tableau1[[#This Row],[Prix Action]] - $C$2)</f>
        <v>1531.5857079109317</v>
      </c>
      <c r="H162" s="8">
        <f>Tableau1[[#This Row],[Prix option]]-Tableau1[[#This Row],[D1]]*Tableau1[[#This Row],[Prix Action]]</f>
        <v>-78.595543013670977</v>
      </c>
      <c r="I162" s="9">
        <f t="shared" si="9"/>
        <v>283.42655622768899</v>
      </c>
    </row>
    <row r="163" spans="1:9" x14ac:dyDescent="0.3">
      <c r="A163">
        <v>159</v>
      </c>
      <c r="B163">
        <f t="shared" si="8"/>
        <v>1.020815573591267</v>
      </c>
      <c r="C163">
        <f>Tableau1[[#This Row],[D1]]-$E$2*SQRT($B$2)</f>
        <v>0.12081557359126693</v>
      </c>
      <c r="D163">
        <f>NORMSDIST(Tableau1[[#This Row],[D1]])</f>
        <v>0.84632908774316706</v>
      </c>
      <c r="E163">
        <f>NORMSDIST(Tableau1[[#This Row],[D2]])</f>
        <v>0.54808144273864356</v>
      </c>
      <c r="F163" s="1">
        <f>Tableau1[[#This Row],[Prix Action]]*Tableau1[[#This Row],[Normal(D1)]]-$C$2*EXP(-$A$2*$B$2)*Tableau1[[#This Row],[Normal(D2)]]</f>
        <v>82.431205415583463</v>
      </c>
      <c r="G163" s="1">
        <f xml:space="preserve"> Tableau1[[#This Row],[Prix option]] - 0.5 * (-50) * (Tableau1[[#This Row],[Prix Action]] - $C$2)</f>
        <v>1557.4312054155835</v>
      </c>
      <c r="H163" s="8">
        <f>Tableau1[[#This Row],[Prix option]]-Tableau1[[#This Row],[D1]]*Tableau1[[#This Row],[Prix Action]]</f>
        <v>-79.878470785427993</v>
      </c>
      <c r="I163" s="9">
        <f t="shared" si="9"/>
        <v>286.8472528750147</v>
      </c>
    </row>
    <row r="164" spans="1:9" x14ac:dyDescent="0.3">
      <c r="A164">
        <v>160</v>
      </c>
      <c r="B164">
        <f t="shared" si="8"/>
        <v>1.0277818102730396</v>
      </c>
      <c r="C164">
        <f>Tableau1[[#This Row],[D1]]-$E$2*SQRT($B$2)</f>
        <v>0.12778181027303959</v>
      </c>
      <c r="D164">
        <f>NORMSDIST(Tableau1[[#This Row],[D1]])</f>
        <v>0.84797376276433967</v>
      </c>
      <c r="E164">
        <f>NORMSDIST(Tableau1[[#This Row],[D2]])</f>
        <v>0.5508391773278869</v>
      </c>
      <c r="F164" s="1">
        <f>Tableau1[[#This Row],[Prix Action]]*Tableau1[[#This Row],[Normal(D1)]]-$C$2*EXP(-$A$2*$B$2)*Tableau1[[#This Row],[Normal(D2)]]</f>
        <v>83.278358678089091</v>
      </c>
      <c r="G164" s="1">
        <f xml:space="preserve"> Tableau1[[#This Row],[Prix option]] - 0.5 * (-50) * (Tableau1[[#This Row],[Prix Action]] - $C$2)</f>
        <v>1583.278358678089</v>
      </c>
      <c r="H164" s="8">
        <f>Tableau1[[#This Row],[Prix option]]-Tableau1[[#This Row],[D1]]*Tableau1[[#This Row],[Prix Action]]</f>
        <v>-81.166730965597253</v>
      </c>
      <c r="I164" s="9">
        <f t="shared" si="9"/>
        <v>290.2804424417094</v>
      </c>
    </row>
    <row r="165" spans="1:9" x14ac:dyDescent="0.3">
      <c r="A165">
        <v>161</v>
      </c>
      <c r="B165">
        <f t="shared" ref="B165:B196" si="10" xml:space="preserve"> (LN($A165/$C$2) + ($A$2 + ($E$2^2)/2) * $B$2) / ($E$2 * SQRT($B$2))</f>
        <v>1.0347046433293019</v>
      </c>
      <c r="C165">
        <f>Tableau1[[#This Row],[D1]]-$E$2*SQRT($B$2)</f>
        <v>0.13470464332930188</v>
      </c>
      <c r="D165">
        <f>NORMSDIST(Tableau1[[#This Row],[D1]])</f>
        <v>0.84959656654839077</v>
      </c>
      <c r="E165">
        <f>NORMSDIST(Tableau1[[#This Row],[D2]])</f>
        <v>0.55357729909541575</v>
      </c>
      <c r="F165" s="1">
        <f>Tableau1[[#This Row],[Prix Action]]*Tableau1[[#This Row],[Normal(D1)]]-$C$2*EXP(-$A$2*$B$2)*Tableau1[[#This Row],[Normal(D2)]]</f>
        <v>84.127145650771723</v>
      </c>
      <c r="G165" s="1">
        <f xml:space="preserve"> Tableau1[[#This Row],[Prix option]] - 0.5 * (-50) * (Tableau1[[#This Row],[Prix Action]] - $C$2)</f>
        <v>1609.1271456507718</v>
      </c>
      <c r="H165" s="8">
        <f>Tableau1[[#This Row],[Prix option]]-Tableau1[[#This Row],[D1]]*Tableau1[[#This Row],[Prix Action]]</f>
        <v>-82.460301925245886</v>
      </c>
      <c r="I165" s="9">
        <f t="shared" ref="I165:I196" si="11">$F166-$F165-(H166*$A166-$H165*$A165)</f>
        <v>293.72606984356696</v>
      </c>
    </row>
    <row r="166" spans="1:9" x14ac:dyDescent="0.3">
      <c r="A166">
        <v>162</v>
      </c>
      <c r="B166">
        <f t="shared" si="10"/>
        <v>1.0415846102714363</v>
      </c>
      <c r="C166">
        <f>Tableau1[[#This Row],[D1]]-$E$2*SQRT($B$2)</f>
        <v>0.14158461027143632</v>
      </c>
      <c r="D166">
        <f>NORMSDIST(Tableau1[[#This Row],[D1]])</f>
        <v>0.85119784658784869</v>
      </c>
      <c r="E166">
        <f>NORMSDIST(Tableau1[[#This Row],[D2]])</f>
        <v>0.55629593815741885</v>
      </c>
      <c r="F166" s="1">
        <f>Tableau1[[#This Row],[Prix Action]]*Tableau1[[#This Row],[Normal(D1)]]-$C$2*EXP(-$A$2*$B$2)*Tableau1[[#This Row],[Normal(D2)]]</f>
        <v>84.97754463667485</v>
      </c>
      <c r="G166" s="1">
        <f xml:space="preserve"> Tableau1[[#This Row],[Prix option]] - 0.5 * (-50) * (Tableau1[[#This Row],[Prix Action]] - $C$2)</f>
        <v>1634.9775446366748</v>
      </c>
      <c r="H166" s="8">
        <f>Tableau1[[#This Row],[Prix option]]-Tableau1[[#This Row],[D1]]*Tableau1[[#This Row],[Prix Action]]</f>
        <v>-83.75916222729785</v>
      </c>
      <c r="I166" s="9">
        <f t="shared" si="11"/>
        <v>297.18408035660497</v>
      </c>
    </row>
    <row r="167" spans="1:9" x14ac:dyDescent="0.3">
      <c r="A167">
        <v>163</v>
      </c>
      <c r="B167">
        <f t="shared" si="10"/>
        <v>1.048422238687412</v>
      </c>
      <c r="C167">
        <f>Tableau1[[#This Row],[D1]]-$E$2*SQRT($B$2)</f>
        <v>0.148422238687412</v>
      </c>
      <c r="D167">
        <f>NORMSDIST(Tableau1[[#This Row],[D1]])</f>
        <v>0.85277794402811269</v>
      </c>
      <c r="E167">
        <f>NORMSDIST(Tableau1[[#This Row],[D2]])</f>
        <v>0.55899522474656504</v>
      </c>
      <c r="F167" s="1">
        <f>Tableau1[[#This Row],[Prix Action]]*Tableau1[[#This Row],[Normal(D1)]]-$C$2*EXP(-$A$2*$B$2)*Tableau1[[#This Row],[Normal(D2)]]</f>
        <v>85.829534283150124</v>
      </c>
      <c r="G167" s="1">
        <f xml:space="preserve"> Tableau1[[#This Row],[Prix option]] - 0.5 * (-50) * (Tableau1[[#This Row],[Prix Action]] - $C$2)</f>
        <v>1660.8295342831502</v>
      </c>
      <c r="H167" s="8">
        <f>Tableau1[[#This Row],[Prix option]]-Tableau1[[#This Row],[D1]]*Tableau1[[#This Row],[Prix Action]]</f>
        <v>-85.063290622898037</v>
      </c>
      <c r="I167" s="9">
        <f t="shared" si="11"/>
        <v>300.65441961467388</v>
      </c>
    </row>
    <row r="168" spans="1:9" x14ac:dyDescent="0.3">
      <c r="A168">
        <v>164</v>
      </c>
      <c r="B168">
        <f t="shared" si="10"/>
        <v>1.0552180464845633</v>
      </c>
      <c r="C168">
        <f>Tableau1[[#This Row],[D1]]-$E$2*SQRT($B$2)</f>
        <v>0.15521804648456328</v>
      </c>
      <c r="D168">
        <f>NORMSDIST(Tableau1[[#This Row],[D1]])</f>
        <v>0.85433719379491735</v>
      </c>
      <c r="E168">
        <f>NORMSDIST(Tableau1[[#This Row],[D2]])</f>
        <v>0.56167528916418652</v>
      </c>
      <c r="F168" s="1">
        <f>Tableau1[[#This Row],[Prix Action]]*Tableau1[[#This Row],[Normal(D1)]]-$C$2*EXP(-$A$2*$B$2)*Tableau1[[#This Row],[Normal(D2)]]</f>
        <v>86.683093575574304</v>
      </c>
      <c r="G168" s="1">
        <f xml:space="preserve"> Tableau1[[#This Row],[Prix option]] - 0.5 * (-50) * (Tableau1[[#This Row],[Prix Action]] - $C$2)</f>
        <v>1686.6830935755743</v>
      </c>
      <c r="H168" s="8">
        <f>Tableau1[[#This Row],[Prix option]]-Tableau1[[#This Row],[D1]]*Tableau1[[#This Row],[Prix Action]]</f>
        <v>-86.372666047894086</v>
      </c>
      <c r="I168" s="9">
        <f t="shared" si="11"/>
        <v>304.13703360708223</v>
      </c>
    </row>
    <row r="169" spans="1:9" x14ac:dyDescent="0.3">
      <c r="A169">
        <v>165</v>
      </c>
      <c r="B169">
        <f t="shared" si="10"/>
        <v>1.0619725421249879</v>
      </c>
      <c r="C169">
        <f>Tableau1[[#This Row],[D1]]-$E$2*SQRT($B$2)</f>
        <v>0.16197254212498791</v>
      </c>
      <c r="D169">
        <f>NORMSDIST(Tableau1[[#This Row],[D1]])</f>
        <v>0.85587592471916851</v>
      </c>
      <c r="E169">
        <f>NORMSDIST(Tableau1[[#This Row],[D2]])</f>
        <v>0.56433626173461982</v>
      </c>
      <c r="F169" s="1">
        <f>Tableau1[[#This Row],[Prix Action]]*Tableau1[[#This Row],[Normal(D1)]]-$C$2*EXP(-$A$2*$B$2)*Tableau1[[#This Row],[Normal(D2)]]</f>
        <v>87.538201831192112</v>
      </c>
      <c r="G169" s="1">
        <f xml:space="preserve"> Tableau1[[#This Row],[Prix option]] - 0.5 * (-50) * (Tableau1[[#This Row],[Prix Action]] - $C$2)</f>
        <v>1712.5382018311921</v>
      </c>
      <c r="H169" s="8">
        <f>Tableau1[[#This Row],[Prix option]]-Tableau1[[#This Row],[D1]]*Tableau1[[#This Row],[Prix Action]]</f>
        <v>-87.687267619430884</v>
      </c>
      <c r="I169" s="9">
        <f t="shared" si="11"/>
        <v>307.63186867631748</v>
      </c>
    </row>
    <row r="170" spans="1:9" x14ac:dyDescent="0.3">
      <c r="A170">
        <v>166</v>
      </c>
      <c r="B170">
        <f t="shared" si="10"/>
        <v>1.0686862248538354</v>
      </c>
      <c r="C170">
        <f>Tableau1[[#This Row],[D1]]-$E$2*SQRT($B$2)</f>
        <v>0.16868622485383533</v>
      </c>
      <c r="D170">
        <f>NORMSDIST(Tableau1[[#This Row],[D1]])</f>
        <v>0.85739445965920313</v>
      </c>
      <c r="E170">
        <f>NORMSDIST(Tableau1[[#This Row],[D2]])</f>
        <v>0.56697827276162349</v>
      </c>
      <c r="F170" s="1">
        <f>Tableau1[[#This Row],[Prix Action]]*Tableau1[[#This Row],[Normal(D1)]]-$C$2*EXP(-$A$2*$B$2)*Tableau1[[#This Row],[Normal(D2)]]</f>
        <v>88.394838693082932</v>
      </c>
      <c r="G170" s="1">
        <f xml:space="preserve"> Tableau1[[#This Row],[Prix option]] - 0.5 * (-50) * (Tableau1[[#This Row],[Prix Action]] - $C$2)</f>
        <v>1738.3948386930829</v>
      </c>
      <c r="H170" s="8">
        <f>Tableau1[[#This Row],[Prix option]]-Tableau1[[#This Row],[D1]]*Tableau1[[#This Row],[Prix Action]]</f>
        <v>-89.00707463265374</v>
      </c>
      <c r="I170" s="9">
        <f t="shared" si="11"/>
        <v>311.13887151566348</v>
      </c>
    </row>
    <row r="171" spans="1:9" x14ac:dyDescent="0.3">
      <c r="A171">
        <v>167</v>
      </c>
      <c r="B171">
        <f t="shared" si="10"/>
        <v>1.0753595849207374</v>
      </c>
      <c r="C171">
        <f>Tableau1[[#This Row],[D1]]-$E$2*SQRT($B$2)</f>
        <v>0.17535958492073733</v>
      </c>
      <c r="D171">
        <f>NORMSDIST(Tableau1[[#This Row],[D1]])</f>
        <v>0.85889311562051385</v>
      </c>
      <c r="E171">
        <f>NORMSDIST(Tableau1[[#This Row],[D2]])</f>
        <v>0.56960145248678762</v>
      </c>
      <c r="F171" s="1">
        <f>Tableau1[[#This Row],[Prix Action]]*Tableau1[[#This Row],[Normal(D1)]]-$C$2*EXP(-$A$2*$B$2)*Tableau1[[#This Row],[Normal(D2)]]</f>
        <v>89.252984124248044</v>
      </c>
      <c r="G171" s="1">
        <f xml:space="preserve"> Tableau1[[#This Row],[Prix option]] - 0.5 * (-50) * (Tableau1[[#This Row],[Prix Action]] - $C$2)</f>
        <v>1764.2529841242481</v>
      </c>
      <c r="H171" s="8">
        <f>Tableau1[[#This Row],[Prix option]]-Tableau1[[#This Row],[D1]]*Tableau1[[#This Row],[Prix Action]]</f>
        <v>-90.332066557515091</v>
      </c>
      <c r="I171" s="9">
        <f t="shared" si="11"/>
        <v>314.65798916697503</v>
      </c>
    </row>
    <row r="172" spans="1:9" x14ac:dyDescent="0.3">
      <c r="A172">
        <v>168</v>
      </c>
      <c r="B172">
        <f t="shared" si="10"/>
        <v>1.0819931037946304</v>
      </c>
      <c r="C172">
        <f>Tableau1[[#This Row],[D1]]-$E$2*SQRT($B$2)</f>
        <v>0.18199310379463041</v>
      </c>
      <c r="D172">
        <f>NORMSDIST(Tableau1[[#This Row],[D1]])</f>
        <v>0.86037220387298818</v>
      </c>
      <c r="E172">
        <f>NORMSDIST(Tableau1[[#This Row],[D2]])</f>
        <v>0.57220593104985862</v>
      </c>
      <c r="F172" s="1">
        <f>Tableau1[[#This Row],[Prix Action]]*Tableau1[[#This Row],[Normal(D1)]]-$C$2*EXP(-$A$2*$B$2)*Tableau1[[#This Row],[Normal(D2)]]</f>
        <v>90.112618401816803</v>
      </c>
      <c r="G172" s="1">
        <f xml:space="preserve"> Tableau1[[#This Row],[Prix option]] - 0.5 * (-50) * (Tableau1[[#This Row],[Prix Action]] - $C$2)</f>
        <v>1790.1126184018167</v>
      </c>
      <c r="H172" s="8">
        <f>Tableau1[[#This Row],[Prix option]]-Tableau1[[#This Row],[D1]]*Tableau1[[#This Row],[Prix Action]]</f>
        <v>-91.662223035681109</v>
      </c>
      <c r="I172" s="9">
        <f t="shared" si="11"/>
        <v>318.1891690183013</v>
      </c>
    </row>
    <row r="173" spans="1:9" x14ac:dyDescent="0.3">
      <c r="A173">
        <v>169</v>
      </c>
      <c r="B173">
        <f t="shared" si="10"/>
        <v>1.0885872543722024</v>
      </c>
      <c r="C173">
        <f>Tableau1[[#This Row],[D1]]-$E$2*SQRT($B$2)</f>
        <v>0.18858725437220236</v>
      </c>
      <c r="D173">
        <f>NORMSDIST(Tableau1[[#This Row],[D1]])</f>
        <v>0.86183203006570852</v>
      </c>
      <c r="E173">
        <f>NORMSDIST(Tableau1[[#This Row],[D2]])</f>
        <v>0.57479183845090431</v>
      </c>
      <c r="F173" s="1">
        <f>Tableau1[[#This Row],[Prix Action]]*Tableau1[[#This Row],[Normal(D1)]]-$C$2*EXP(-$A$2*$B$2)*Tableau1[[#This Row],[Normal(D2)]]</f>
        <v>90.97372211136863</v>
      </c>
      <c r="G173" s="1">
        <f xml:space="preserve"> Tableau1[[#This Row],[Prix option]] - 0.5 * (-50) * (Tableau1[[#This Row],[Prix Action]] - $C$2)</f>
        <v>1815.9737221113687</v>
      </c>
      <c r="H173" s="8">
        <f>Tableau1[[#This Row],[Prix option]]-Tableau1[[#This Row],[D1]]*Tableau1[[#This Row],[Prix Action]]</f>
        <v>-92.997523877533581</v>
      </c>
      <c r="I173" s="9">
        <f t="shared" si="11"/>
        <v>321.73235880164418</v>
      </c>
    </row>
    <row r="174" spans="1:9" x14ac:dyDescent="0.3">
      <c r="A174">
        <v>170</v>
      </c>
      <c r="B174">
        <f t="shared" si="10"/>
        <v>1.0951425011801892</v>
      </c>
      <c r="C174">
        <f>Tableau1[[#This Row],[D1]]-$E$2*SQRT($B$2)</f>
        <v>0.19514250118018917</v>
      </c>
      <c r="D174">
        <f>NORMSDIST(Tableau1[[#This Row],[D1]])</f>
        <v>0.86327289433935495</v>
      </c>
      <c r="E174">
        <f>NORMSDIST(Tableau1[[#This Row],[D2]])</f>
        <v>0.57735930451424566</v>
      </c>
      <c r="F174" s="1">
        <f>Tableau1[[#This Row],[Prix Action]]*Tableau1[[#This Row],[Normal(D1)]]-$C$2*EXP(-$A$2*$B$2)*Tableau1[[#This Row],[Normal(D2)]]</f>
        <v>91.836276141368501</v>
      </c>
      <c r="G174" s="1">
        <f xml:space="preserve"> Tableau1[[#This Row],[Prix option]] - 0.5 * (-50) * (Tableau1[[#This Row],[Prix Action]] - $C$2)</f>
        <v>1841.8362761413684</v>
      </c>
      <c r="H174" s="8">
        <f>Tableau1[[#This Row],[Prix option]]-Tableau1[[#This Row],[D1]]*Tableau1[[#This Row],[Prix Action]]</f>
        <v>-94.33794905926365</v>
      </c>
      <c r="I174" s="9">
        <f t="shared" si="11"/>
        <v>325.28750659078287</v>
      </c>
    </row>
    <row r="175" spans="1:9" x14ac:dyDescent="0.3">
      <c r="A175">
        <v>171</v>
      </c>
      <c r="B175">
        <f t="shared" si="10"/>
        <v>1.1016593005717428</v>
      </c>
      <c r="C175">
        <f>Tableau1[[#This Row],[D1]]-$E$2*SQRT($B$2)</f>
        <v>0.20165930057174275</v>
      </c>
      <c r="D175">
        <f>NORMSDIST(Tableau1[[#This Row],[D1]])</f>
        <v>0.86469509143626255</v>
      </c>
      <c r="E175">
        <f>NORMSDIST(Tableau1[[#This Row],[D2]])</f>
        <v>0.57990845885408815</v>
      </c>
      <c r="F175" s="1">
        <f>Tableau1[[#This Row],[Prix Action]]*Tableau1[[#This Row],[Normal(D1)]]-$C$2*EXP(-$A$2*$B$2)*Tableau1[[#This Row],[Normal(D2)]]</f>
        <v>92.700261677713868</v>
      </c>
      <c r="G175" s="1">
        <f xml:space="preserve"> Tableau1[[#This Row],[Prix option]] - 0.5 * (-50) * (Tableau1[[#This Row],[Prix Action]] - $C$2)</f>
        <v>1867.7002616777138</v>
      </c>
      <c r="H175" s="8">
        <f>Tableau1[[#This Row],[Prix option]]-Tableau1[[#This Row],[D1]]*Tableau1[[#This Row],[Prix Action]]</f>
        <v>-95.68347872005414</v>
      </c>
      <c r="I175" s="9">
        <f t="shared" si="11"/>
        <v>328.85456079884159</v>
      </c>
    </row>
    <row r="176" spans="1:9" x14ac:dyDescent="0.3">
      <c r="A176">
        <v>172</v>
      </c>
      <c r="B176">
        <f t="shared" si="10"/>
        <v>1.1081381009170685</v>
      </c>
      <c r="C176">
        <f>Tableau1[[#This Row],[D1]]-$E$2*SQRT($B$2)</f>
        <v>0.20813810091706852</v>
      </c>
      <c r="D176">
        <f>NORMSDIST(Tableau1[[#This Row],[D1]])</f>
        <v>0.86609891080817192</v>
      </c>
      <c r="E176">
        <f>NORMSDIST(Tableau1[[#This Row],[D2]])</f>
        <v>0.58243943084178296</v>
      </c>
      <c r="F176" s="1">
        <f>Tableau1[[#This Row],[Prix Action]]*Tableau1[[#This Row],[Normal(D1)]]-$C$2*EXP(-$A$2*$B$2)*Tableau1[[#This Row],[Normal(D2)]]</f>
        <v>93.56566019839029</v>
      </c>
      <c r="G176" s="1">
        <f xml:space="preserve"> Tableau1[[#This Row],[Prix option]] - 0.5 * (-50) * (Tableau1[[#This Row],[Prix Action]] - $C$2)</f>
        <v>1893.5656601983903</v>
      </c>
      <c r="H176" s="8">
        <f>Tableau1[[#This Row],[Prix option]]-Tableau1[[#This Row],[D1]]*Tableau1[[#This Row],[Prix Action]]</f>
        <v>-97.034093159345488</v>
      </c>
      <c r="I176" s="9">
        <f t="shared" si="11"/>
        <v>332.43347017622636</v>
      </c>
    </row>
    <row r="177" spans="1:9" x14ac:dyDescent="0.3">
      <c r="A177">
        <v>173</v>
      </c>
      <c r="B177">
        <f t="shared" si="10"/>
        <v>1.1145793427885418</v>
      </c>
      <c r="C177">
        <f>Tableau1[[#This Row],[D1]]-$E$2*SQRT($B$2)</f>
        <v>0.21457934278854174</v>
      </c>
      <c r="D177">
        <f>NORMSDIST(Tableau1[[#This Row],[D1]])</f>
        <v>0.86748463672172271</v>
      </c>
      <c r="E177">
        <f>NORMSDIST(Tableau1[[#This Row],[D2]])</f>
        <v>0.5849523495746568</v>
      </c>
      <c r="F177" s="1">
        <f>Tableau1[[#This Row],[Prix Action]]*Tableau1[[#This Row],[Normal(D1)]]-$C$2*EXP(-$A$2*$B$2)*Tableau1[[#This Row],[Normal(D2)]]</f>
        <v>94.432453468233888</v>
      </c>
      <c r="G177" s="1">
        <f xml:space="preserve"> Tableau1[[#This Row],[Prix option]] - 0.5 * (-50) * (Tableau1[[#This Row],[Prix Action]] - $C$2)</f>
        <v>1919.4324534682339</v>
      </c>
      <c r="H177" s="8">
        <f>Tableau1[[#This Row],[Prix option]]-Tableau1[[#This Row],[D1]]*Tableau1[[#This Row],[Prix Action]]</f>
        <v>-98.389772834183844</v>
      </c>
      <c r="I177" s="9">
        <f t="shared" si="11"/>
        <v>336.02418380828266</v>
      </c>
    </row>
    <row r="178" spans="1:9" x14ac:dyDescent="0.3">
      <c r="A178">
        <v>174</v>
      </c>
      <c r="B178">
        <f t="shared" si="10"/>
        <v>1.1209834591404861</v>
      </c>
      <c r="C178">
        <f>Tableau1[[#This Row],[D1]]-$E$2*SQRT($B$2)</f>
        <v>0.22098345914048612</v>
      </c>
      <c r="D178">
        <f>NORMSDIST(Tableau1[[#This Row],[D1]])</f>
        <v>0.86885254836173154</v>
      </c>
      <c r="E178">
        <f>NORMSDIST(Tableau1[[#This Row],[D2]])</f>
        <v>0.58744734384634711</v>
      </c>
      <c r="F178" s="1">
        <f>Tableau1[[#This Row],[Prix Action]]*Tableau1[[#This Row],[Normal(D1)]]-$C$2*EXP(-$A$2*$B$2)*Tableau1[[#This Row],[Normal(D2)]]</f>
        <v>95.300623533797904</v>
      </c>
      <c r="G178" s="1">
        <f xml:space="preserve"> Tableau1[[#This Row],[Prix option]] - 0.5 * (-50) * (Tableau1[[#This Row],[Prix Action]] - $C$2)</f>
        <v>1945.300623533798</v>
      </c>
      <c r="H178" s="8">
        <f>Tableau1[[#This Row],[Prix option]]-Tableau1[[#This Row],[D1]]*Tableau1[[#This Row],[Prix Action]]</f>
        <v>-99.750498356646688</v>
      </c>
      <c r="I178" s="9">
        <f t="shared" si="11"/>
        <v>339.62665111315675</v>
      </c>
    </row>
    <row r="179" spans="1:9" x14ac:dyDescent="0.3">
      <c r="A179">
        <v>175</v>
      </c>
      <c r="B179">
        <f t="shared" si="10"/>
        <v>1.1273508754838031</v>
      </c>
      <c r="C179">
        <f>Tableau1[[#This Row],[D1]]-$E$2*SQRT($B$2)</f>
        <v>0.22735087548380306</v>
      </c>
      <c r="D179">
        <f>NORMSDIST(Tableau1[[#This Row],[D1]])</f>
        <v>0.87020291993230015</v>
      </c>
      <c r="E179">
        <f>NORMSDIST(Tableau1[[#This Row],[D2]])</f>
        <v>0.58992454211858358</v>
      </c>
      <c r="F179" s="1">
        <f>Tableau1[[#This Row],[Prix Action]]*Tableau1[[#This Row],[Normal(D1)]]-$C$2*EXP(-$A$2*$B$2)*Tableau1[[#This Row],[Normal(D2)]]</f>
        <v>96.170152718321788</v>
      </c>
      <c r="G179" s="1">
        <f xml:space="preserve"> Tableau1[[#This Row],[Prix option]] - 0.5 * (-50) * (Tableau1[[#This Row],[Prix Action]] - $C$2)</f>
        <v>1971.1701527183218</v>
      </c>
      <c r="H179" s="8">
        <f>Tableau1[[#This Row],[Prix option]]-Tableau1[[#This Row],[D1]]*Tableau1[[#This Row],[Prix Action]]</f>
        <v>-101.11625049134375</v>
      </c>
      <c r="I179" s="9">
        <f t="shared" si="11"/>
        <v>343.24082183949986</v>
      </c>
    </row>
    <row r="180" spans="1:9" x14ac:dyDescent="0.3">
      <c r="A180">
        <v>176</v>
      </c>
      <c r="B180">
        <f t="shared" si="10"/>
        <v>1.1336820100556229</v>
      </c>
      <c r="C180">
        <f>Tableau1[[#This Row],[D1]]-$E$2*SQRT($B$2)</f>
        <v>0.23368201005562284</v>
      </c>
      <c r="D180">
        <f>NORMSDIST(Tableau1[[#This Row],[D1]])</f>
        <v>0.87153602075579439</v>
      </c>
      <c r="E180">
        <f>NORMSDIST(Tableau1[[#This Row],[D2]])</f>
        <v>0.59238407249435898</v>
      </c>
      <c r="F180" s="1">
        <f>Tableau1[[#This Row],[Prix Action]]*Tableau1[[#This Row],[Normal(D1)]]-$C$2*EXP(-$A$2*$B$2)*Tableau1[[#This Row],[Normal(D2)]]</f>
        <v>97.041023616799976</v>
      </c>
      <c r="G180" s="1">
        <f xml:space="preserve"> Tableau1[[#This Row],[Prix option]] - 0.5 * (-50) * (Tableau1[[#This Row],[Prix Action]] - $C$2)</f>
        <v>1997.0410236168</v>
      </c>
      <c r="H180" s="8">
        <f>Tableau1[[#This Row],[Prix option]]-Tableau1[[#This Row],[D1]]*Tableau1[[#This Row],[Prix Action]]</f>
        <v>-102.48701015298965</v>
      </c>
      <c r="I180" s="9">
        <f t="shared" si="11"/>
        <v>346.86664606432925</v>
      </c>
    </row>
    <row r="181" spans="1:9" x14ac:dyDescent="0.3">
      <c r="A181">
        <v>177</v>
      </c>
      <c r="B181">
        <f t="shared" si="10"/>
        <v>1.1399772739841529</v>
      </c>
      <c r="C181">
        <f>Tableau1[[#This Row],[D1]]-$E$2*SQRT($B$2)</f>
        <v>0.23997727398415292</v>
      </c>
      <c r="D181">
        <f>NORMSDIST(Tableau1[[#This Row],[D1]])</f>
        <v>0.8728521153697405</v>
      </c>
      <c r="E181">
        <f>NORMSDIST(Tableau1[[#This Row],[D2]])</f>
        <v>0.59482606269243543</v>
      </c>
      <c r="F181" s="1">
        <f>Tableau1[[#This Row],[Prix Action]]*Tableau1[[#This Row],[Normal(D1)]]-$C$2*EXP(-$A$2*$B$2)*Tableau1[[#This Row],[Normal(D2)]]</f>
        <v>97.913219091148974</v>
      </c>
      <c r="G181" s="1">
        <f xml:space="preserve"> Tableau1[[#This Row],[Prix option]] - 0.5 * (-50) * (Tableau1[[#This Row],[Prix Action]] - $C$2)</f>
        <v>2022.9132190911489</v>
      </c>
      <c r="H181" s="8">
        <f>Tableau1[[#This Row],[Prix option]]-Tableau1[[#This Row],[D1]]*Tableau1[[#This Row],[Prix Action]]</f>
        <v>-103.86275840404609</v>
      </c>
      <c r="I181" s="9">
        <f t="shared" si="11"/>
        <v>350.50407419090067</v>
      </c>
    </row>
    <row r="182" spans="1:9" x14ac:dyDescent="0.3">
      <c r="A182">
        <v>178</v>
      </c>
      <c r="B182">
        <f t="shared" si="10"/>
        <v>1.1462370714488819</v>
      </c>
      <c r="C182">
        <f>Tableau1[[#This Row],[D1]]-$E$2*SQRT($B$2)</f>
        <v>0.24623707144888185</v>
      </c>
      <c r="D182">
        <f>NORMSDIST(Tableau1[[#This Row],[D1]])</f>
        <v>0.87415146362167806</v>
      </c>
      <c r="E182">
        <f>NORMSDIST(Tableau1[[#This Row],[D2]])</f>
        <v>0.59725064002313344</v>
      </c>
      <c r="F182" s="1">
        <f>Tableau1[[#This Row],[Prix Action]]*Tableau1[[#This Row],[Normal(D1)]]-$C$2*EXP(-$A$2*$B$2)*Tableau1[[#This Row],[Normal(D2)]]</f>
        <v>98.786722265469876</v>
      </c>
      <c r="G182" s="1">
        <f xml:space="preserve"> Tableau1[[#This Row],[Prix option]] - 0.5 * (-50) * (Tableau1[[#This Row],[Prix Action]] - $C$2)</f>
        <v>2048.78672226547</v>
      </c>
      <c r="H182" s="8">
        <f>Tableau1[[#This Row],[Prix option]]-Tableau1[[#This Row],[D1]]*Tableau1[[#This Row],[Prix Action]]</f>
        <v>-105.24347645243111</v>
      </c>
      <c r="I182" s="9">
        <f t="shared" si="11"/>
        <v>354.15305694633616</v>
      </c>
    </row>
    <row r="183" spans="1:9" x14ac:dyDescent="0.3">
      <c r="A183">
        <v>179</v>
      </c>
      <c r="B183">
        <f t="shared" si="10"/>
        <v>1.1524617998362929</v>
      </c>
      <c r="C183">
        <f>Tableau1[[#This Row],[D1]]-$E$2*SQRT($B$2)</f>
        <v>0.25246179983629291</v>
      </c>
      <c r="D183">
        <f>NORMSDIST(Tableau1[[#This Row],[D1]])</f>
        <v>0.87543432076201233</v>
      </c>
      <c r="E183">
        <f>NORMSDIST(Tableau1[[#This Row],[D2]])</f>
        <v>0.59965793136534984</v>
      </c>
      <c r="F183" s="1">
        <f>Tableau1[[#This Row],[Prix Action]]*Tableau1[[#This Row],[Normal(D1)]]-$C$2*EXP(-$A$2*$B$2)*Tableau1[[#This Row],[Normal(D2)]]</f>
        <v>99.661516521405161</v>
      </c>
      <c r="G183" s="1">
        <f xml:space="preserve"> Tableau1[[#This Row],[Prix option]] - 0.5 * (-50) * (Tableau1[[#This Row],[Prix Action]] - $C$2)</f>
        <v>2074.6615165214052</v>
      </c>
      <c r="H183" s="8">
        <f>Tableau1[[#This Row],[Prix option]]-Tableau1[[#This Row],[D1]]*Tableau1[[#This Row],[Prix Action]]</f>
        <v>-106.62914564929127</v>
      </c>
      <c r="I183" s="9">
        <f t="shared" si="11"/>
        <v>357.81354537964569</v>
      </c>
    </row>
    <row r="184" spans="1:9" x14ac:dyDescent="0.3">
      <c r="A184">
        <v>180</v>
      </c>
      <c r="B184">
        <f t="shared" si="10"/>
        <v>1.1586518498912435</v>
      </c>
      <c r="C184">
        <f>Tableau1[[#This Row],[D1]]-$E$2*SQRT($B$2)</f>
        <v>0.25865184989124346</v>
      </c>
      <c r="D184">
        <f>NORMSDIST(Tableau1[[#This Row],[D1]])</f>
        <v>0.8767009375349073</v>
      </c>
      <c r="E184">
        <f>NORMSDIST(Tableau1[[#This Row],[D2]])</f>
        <v>0.602048063144762</v>
      </c>
      <c r="F184" s="1">
        <f>Tableau1[[#This Row],[Prix Action]]*Tableau1[[#This Row],[Normal(D1)]]-$C$2*EXP(-$A$2*$B$2)*Tableau1[[#This Row],[Normal(D2)]]</f>
        <v>100.53758549358716</v>
      </c>
      <c r="G184" s="1">
        <f xml:space="preserve"> Tableau1[[#This Row],[Prix option]] - 0.5 * (-50) * (Tableau1[[#This Row],[Prix Action]] - $C$2)</f>
        <v>2100.5375854935874</v>
      </c>
      <c r="H184" s="8">
        <f>Tableau1[[#This Row],[Prix option]]-Tableau1[[#This Row],[D1]]*Tableau1[[#This Row],[Prix Action]]</f>
        <v>-108.01974748683668</v>
      </c>
      <c r="I184" s="9">
        <f t="shared" si="11"/>
        <v>361.48549085947406</v>
      </c>
    </row>
    <row r="185" spans="1:9" x14ac:dyDescent="0.3">
      <c r="A185">
        <v>181</v>
      </c>
      <c r="B185">
        <f t="shared" si="10"/>
        <v>1.1648076058641492</v>
      </c>
      <c r="C185">
        <f>Tableau1[[#This Row],[D1]]-$E$2*SQRT($B$2)</f>
        <v>0.2648076058641492</v>
      </c>
      <c r="D185">
        <f>NORMSDIST(Tableau1[[#This Row],[D1]])</f>
        <v>0.87795156026725918</v>
      </c>
      <c r="E185">
        <f>NORMSDIST(Tableau1[[#This Row],[D2]])</f>
        <v>0.60442116131316648</v>
      </c>
      <c r="F185" s="1">
        <f>Tableau1[[#This Row],[Prix Action]]*Tableau1[[#This Row],[Normal(D1)]]-$C$2*EXP(-$A$2*$B$2)*Tableau1[[#This Row],[Normal(D2)]]</f>
        <v>101.41491306517626</v>
      </c>
      <c r="G185" s="1">
        <f xml:space="preserve"> Tableau1[[#This Row],[Prix option]] - 0.5 * (-50) * (Tableau1[[#This Row],[Prix Action]] - $C$2)</f>
        <v>2126.4149130651763</v>
      </c>
      <c r="H185" s="8">
        <f>Tableau1[[#This Row],[Prix option]]-Tableau1[[#This Row],[D1]]*Tableau1[[#This Row],[Prix Action]]</f>
        <v>-109.41526359623474</v>
      </c>
      <c r="I185" s="9">
        <f t="shared" si="11"/>
        <v>365.16884507201388</v>
      </c>
    </row>
    <row r="186" spans="1:9" x14ac:dyDescent="0.3">
      <c r="A186">
        <v>182</v>
      </c>
      <c r="B186">
        <f t="shared" si="10"/>
        <v>1.1709294456541157</v>
      </c>
      <c r="C186">
        <f>Tableau1[[#This Row],[D1]]-$E$2*SQRT($B$2)</f>
        <v>0.2709294456541157</v>
      </c>
      <c r="D186">
        <f>NORMSDIST(Tableau1[[#This Row],[D1]])</f>
        <v>0.87918643095579196</v>
      </c>
      <c r="E186">
        <f>NORMSDIST(Tableau1[[#This Row],[D2]])</f>
        <v>0.60677735132890898</v>
      </c>
      <c r="F186" s="1">
        <f>Tableau1[[#This Row],[Prix Action]]*Tableau1[[#This Row],[Normal(D1)]]-$C$2*EXP(-$A$2*$B$2)*Tableau1[[#This Row],[Normal(D2)]]</f>
        <v>102.29348336348758</v>
      </c>
      <c r="G186" s="1">
        <f xml:space="preserve"> Tableau1[[#This Row],[Prix option]] - 0.5 * (-50) * (Tableau1[[#This Row],[Prix Action]] - $C$2)</f>
        <v>2152.2934833634877</v>
      </c>
      <c r="H186" s="8">
        <f>Tableau1[[#This Row],[Prix option]]-Tableau1[[#This Row],[D1]]*Tableau1[[#This Row],[Prix Action]]</f>
        <v>-110.81567574556149</v>
      </c>
      <c r="I186" s="9">
        <f t="shared" si="11"/>
        <v>368.86356001869018</v>
      </c>
    </row>
    <row r="187" spans="1:9" x14ac:dyDescent="0.3">
      <c r="A187">
        <v>183</v>
      </c>
      <c r="B187">
        <f t="shared" si="10"/>
        <v>1.1770177409481439</v>
      </c>
      <c r="C187">
        <f>Tableau1[[#This Row],[D1]]-$E$2*SQRT($B$2)</f>
        <v>0.27701774094814391</v>
      </c>
      <c r="D187">
        <f>NORMSDIST(Tableau1[[#This Row],[D1]])</f>
        <v>0.88040578735231101</v>
      </c>
      <c r="E187">
        <f>NORMSDIST(Tableau1[[#This Row],[D2]])</f>
        <v>0.60911675813836241</v>
      </c>
      <c r="F187" s="1">
        <f>Tableau1[[#This Row],[Prix Action]]*Tableau1[[#This Row],[Normal(D1)]]-$C$2*EXP(-$A$2*$B$2)*Tableau1[[#This Row],[Normal(D2)]]</f>
        <v>103.17328075570342</v>
      </c>
      <c r="G187" s="1">
        <f xml:space="preserve"> Tableau1[[#This Row],[Prix option]] - 0.5 * (-50) * (Tableau1[[#This Row],[Prix Action]] - $C$2)</f>
        <v>2178.1732807557032</v>
      </c>
      <c r="H187" s="8">
        <f>Tableau1[[#This Row],[Prix option]]-Tableau1[[#This Row],[D1]]*Tableau1[[#This Row],[Prix Action]]</f>
        <v>-112.22096583780692</v>
      </c>
      <c r="I187" s="9">
        <f t="shared" si="11"/>
        <v>372.56958801430244</v>
      </c>
    </row>
    <row r="188" spans="1:9" x14ac:dyDescent="0.3">
      <c r="A188">
        <v>184</v>
      </c>
      <c r="B188">
        <f t="shared" si="10"/>
        <v>1.1830728573565492</v>
      </c>
      <c r="C188">
        <f>Tableau1[[#This Row],[D1]]-$E$2*SQRT($B$2)</f>
        <v>0.28307285735654919</v>
      </c>
      <c r="D188">
        <f>NORMSDIST(Tableau1[[#This Row],[D1]])</f>
        <v>0.88160986304715738</v>
      </c>
      <c r="E188">
        <f>NORMSDIST(Tableau1[[#This Row],[D2]])</f>
        <v>0.61143950615841169</v>
      </c>
      <c r="F188" s="1">
        <f>Tableau1[[#This Row],[Prix Action]]*Tableau1[[#This Row],[Normal(D1)]]-$C$2*EXP(-$A$2*$B$2)*Tableau1[[#This Row],[Normal(D2)]]</f>
        <v>104.05428984467028</v>
      </c>
      <c r="G188" s="1">
        <f xml:space="preserve"> Tableau1[[#This Row],[Prix option]] - 0.5 * (-50) * (Tableau1[[#This Row],[Prix Action]] - $C$2)</f>
        <v>2204.0542898446702</v>
      </c>
      <c r="H188" s="8">
        <f>Tableau1[[#This Row],[Prix option]]-Tableau1[[#This Row],[D1]]*Tableau1[[#This Row],[Prix Action]]</f>
        <v>-113.63111590893479</v>
      </c>
      <c r="I188" s="9">
        <f t="shared" si="11"/>
        <v>376.28688168458234</v>
      </c>
    </row>
    <row r="189" spans="1:9" x14ac:dyDescent="0.3">
      <c r="A189">
        <v>185</v>
      </c>
      <c r="B189">
        <f t="shared" si="10"/>
        <v>1.1890951545447039</v>
      </c>
      <c r="C189">
        <f>Tableau1[[#This Row],[D1]]-$E$2*SQRT($B$2)</f>
        <v>0.28909515454470391</v>
      </c>
      <c r="D189">
        <f>NORMSDIST(Tableau1[[#This Row],[D1]])</f>
        <v>0.88279888755089764</v>
      </c>
      <c r="E189">
        <f>NORMSDIST(Tableau1[[#This Row],[D2]])</f>
        <v>0.61374571925990473</v>
      </c>
      <c r="F189" s="1">
        <f>Tableau1[[#This Row],[Prix Action]]*Tableau1[[#This Row],[Normal(D1)]]-$C$2*EXP(-$A$2*$B$2)*Tableau1[[#This Row],[Normal(D2)]]</f>
        <v>104.93649546477846</v>
      </c>
      <c r="G189" s="1">
        <f xml:space="preserve"> Tableau1[[#This Row],[Prix option]] - 0.5 * (-50) * (Tableau1[[#This Row],[Prix Action]] - $C$2)</f>
        <v>2229.9364954647785</v>
      </c>
      <c r="H189" s="8">
        <f>Tableau1[[#This Row],[Prix option]]-Tableau1[[#This Row],[D1]]*Tableau1[[#This Row],[Prix Action]]</f>
        <v>-115.04610812599176</v>
      </c>
      <c r="I189" s="9">
        <f t="shared" si="11"/>
        <v>380.01539396436436</v>
      </c>
    </row>
    <row r="190" spans="1:9" x14ac:dyDescent="0.3">
      <c r="A190">
        <v>186</v>
      </c>
      <c r="B190">
        <f t="shared" si="10"/>
        <v>1.1950849863612332</v>
      </c>
      <c r="C190">
        <f>Tableau1[[#This Row],[D1]]-$E$2*SQRT($B$2)</f>
        <v>0.29508498636123315</v>
      </c>
      <c r="D190">
        <f>NORMSDIST(Tableau1[[#This Row],[D1]])</f>
        <v>0.88397308637428729</v>
      </c>
      <c r="E190">
        <f>NORMSDIST(Tableau1[[#This Row],[D2]])</f>
        <v>0.61603552075203116</v>
      </c>
      <c r="F190" s="1">
        <f>Tableau1[[#This Row],[Prix Action]]*Tableau1[[#This Row],[Normal(D1)]]-$C$2*EXP(-$A$2*$B$2)*Tableau1[[#This Row],[Normal(D2)]]</f>
        <v>105.81988267792219</v>
      </c>
      <c r="G190" s="1">
        <f xml:space="preserve"> Tableau1[[#This Row],[Prix option]] - 0.5 * (-50) * (Tableau1[[#This Row],[Prix Action]] - $C$2)</f>
        <v>2255.8198826779221</v>
      </c>
      <c r="H190" s="8">
        <f>Tableau1[[#This Row],[Prix option]]-Tableau1[[#This Row],[D1]]*Tableau1[[#This Row],[Prix Action]]</f>
        <v>-116.46592478526718</v>
      </c>
      <c r="I190" s="9">
        <f t="shared" si="11"/>
        <v>383.7550780952605</v>
      </c>
    </row>
    <row r="191" spans="1:9" x14ac:dyDescent="0.3">
      <c r="A191">
        <v>187</v>
      </c>
      <c r="B191">
        <f t="shared" si="10"/>
        <v>1.2010427009627727</v>
      </c>
      <c r="C191">
        <f>Tableau1[[#This Row],[D1]]-$E$2*SQRT($B$2)</f>
        <v>0.30104270096277264</v>
      </c>
      <c r="D191">
        <f>NORMSDIST(Tableau1[[#This Row],[D1]])</f>
        <v>0.8851326811065463</v>
      </c>
      <c r="E191">
        <f>NORMSDIST(Tableau1[[#This Row],[D2]])</f>
        <v>0.61830903336759269</v>
      </c>
      <c r="F191" s="1">
        <f>Tableau1[[#This Row],[Prix Action]]*Tableau1[[#This Row],[Normal(D1)]]-$C$2*EXP(-$A$2*$B$2)*Tableau1[[#This Row],[Normal(D2)]]</f>
        <v>106.70443676953936</v>
      </c>
      <c r="G191" s="1">
        <f xml:space="preserve"> Tableau1[[#This Row],[Prix option]] - 0.5 * (-50) * (Tableau1[[#This Row],[Prix Action]] - $C$2)</f>
        <v>2281.7044367695394</v>
      </c>
      <c r="H191" s="8">
        <f>Tableau1[[#This Row],[Prix option]]-Tableau1[[#This Row],[D1]]*Tableau1[[#This Row],[Prix Action]]</f>
        <v>-117.89054831049914</v>
      </c>
      <c r="I191" s="9">
        <f t="shared" si="11"/>
        <v>387.50588762362776</v>
      </c>
    </row>
    <row r="192" spans="1:9" x14ac:dyDescent="0.3">
      <c r="A192">
        <v>188</v>
      </c>
      <c r="B192">
        <f t="shared" si="10"/>
        <v>1.2069686409353975</v>
      </c>
      <c r="C192">
        <f>Tableau1[[#This Row],[D1]]-$E$2*SQRT($B$2)</f>
        <v>0.30696864093539744</v>
      </c>
      <c r="D192">
        <f>NORMSDIST(Tableau1[[#This Row],[D1]])</f>
        <v>0.88627788949197972</v>
      </c>
      <c r="E192">
        <f>NORMSDIST(Tableau1[[#This Row],[D2]])</f>
        <v>0.6205663792491275</v>
      </c>
      <c r="F192" s="1">
        <f>Tableau1[[#This Row],[Prix Action]]*Tableau1[[#This Row],[Normal(D1)]]-$C$2*EXP(-$A$2*$B$2)*Tableau1[[#This Row],[Normal(D2)]]</f>
        <v>107.59014324472824</v>
      </c>
      <c r="G192" s="1">
        <f xml:space="preserve"> Tableau1[[#This Row],[Prix option]] - 0.5 * (-50) * (Tableau1[[#This Row],[Prix Action]] - $C$2)</f>
        <v>2307.5901432447281</v>
      </c>
      <c r="H192" s="8">
        <f>Tableau1[[#This Row],[Prix option]]-Tableau1[[#This Row],[D1]]*Tableau1[[#This Row],[Prix Action]]</f>
        <v>-119.31996125112647</v>
      </c>
      <c r="I192" s="9">
        <f t="shared" si="11"/>
        <v>391.26777639858801</v>
      </c>
    </row>
    <row r="193" spans="1:9" x14ac:dyDescent="0.3">
      <c r="A193">
        <v>189</v>
      </c>
      <c r="B193">
        <f t="shared" si="10"/>
        <v>1.2128631434128345</v>
      </c>
      <c r="C193">
        <f>Tableau1[[#This Row],[D1]]-$E$2*SQRT($B$2)</f>
        <v>0.3128631434128345</v>
      </c>
      <c r="D193">
        <f>NORMSDIST(Tableau1[[#This Row],[D1]])</f>
        <v>0.88740892550498107</v>
      </c>
      <c r="E193">
        <f>NORMSDIST(Tableau1[[#This Row],[D2]])</f>
        <v>0.62280767993585862</v>
      </c>
      <c r="F193" s="1">
        <f>Tableau1[[#This Row],[Prix Action]]*Tableau1[[#This Row],[Normal(D1)]]-$C$2*EXP(-$A$2*$B$2)*Tableau1[[#This Row],[Normal(D2)]]</f>
        <v>108.47698782444024</v>
      </c>
      <c r="G193" s="1">
        <f xml:space="preserve"> Tableau1[[#This Row],[Prix option]] - 0.5 * (-50) * (Tableau1[[#This Row],[Prix Action]] - $C$2)</f>
        <v>2333.4769878244401</v>
      </c>
      <c r="H193" s="8">
        <f>Tableau1[[#This Row],[Prix option]]-Tableau1[[#This Row],[D1]]*Tableau1[[#This Row],[Prix Action]]</f>
        <v>-120.75414628058547</v>
      </c>
      <c r="I193" s="9">
        <f t="shared" si="11"/>
        <v>395.04069856967266</v>
      </c>
    </row>
    <row r="194" spans="1:9" x14ac:dyDescent="0.3">
      <c r="A194">
        <v>190</v>
      </c>
      <c r="B194">
        <f t="shared" si="10"/>
        <v>1.2187265401915497</v>
      </c>
      <c r="C194">
        <f>Tableau1[[#This Row],[D1]]-$E$2*SQRT($B$2)</f>
        <v>0.31872654019154967</v>
      </c>
      <c r="D194">
        <f>NORMSDIST(Tableau1[[#This Row],[D1]])</f>
        <v>0.88852599942345256</v>
      </c>
      <c r="E194">
        <f>NORMSDIST(Tableau1[[#This Row],[D2]])</f>
        <v>0.62503305635142692</v>
      </c>
      <c r="F194" s="1">
        <f>Tableau1[[#This Row],[Prix Action]]*Tableau1[[#This Row],[Normal(D1)]]-$C$2*EXP(-$A$2*$B$2)*Tableau1[[#This Row],[Normal(D2)]]</f>
        <v>109.36495644174698</v>
      </c>
      <c r="G194" s="1">
        <f xml:space="preserve"> Tableau1[[#This Row],[Prix option]] - 0.5 * (-50) * (Tableau1[[#This Row],[Prix Action]] - $C$2)</f>
        <v>2359.3649564417469</v>
      </c>
      <c r="H194" s="8">
        <f>Tableau1[[#This Row],[Prix option]]-Tableau1[[#This Row],[D1]]*Tableau1[[#This Row],[Prix Action]]</f>
        <v>-122.19308619464746</v>
      </c>
      <c r="I194" s="9">
        <f t="shared" si="11"/>
        <v>398.82460858503941</v>
      </c>
    </row>
    <row r="195" spans="1:9" x14ac:dyDescent="0.3">
      <c r="A195">
        <v>191</v>
      </c>
      <c r="B195">
        <f t="shared" si="10"/>
        <v>1.2245591578428203</v>
      </c>
      <c r="C195">
        <f>Tableau1[[#This Row],[D1]]-$E$2*SQRT($B$2)</f>
        <v>0.3245591578428203</v>
      </c>
      <c r="D195">
        <f>NORMSDIST(Tableau1[[#This Row],[D1]])</f>
        <v>0.88962931790067545</v>
      </c>
      <c r="E195">
        <f>NORMSDIST(Tableau1[[#This Row],[D2]])</f>
        <v>0.62724262879238402</v>
      </c>
      <c r="F195" s="1">
        <f>Tableau1[[#This Row],[Prix Action]]*Tableau1[[#This Row],[Normal(D1)]]-$C$2*EXP(-$A$2*$B$2)*Tableau1[[#This Row],[Normal(D2)]]</f>
        <v>110.25403523817957</v>
      </c>
      <c r="G195" s="1">
        <f xml:space="preserve"> Tableau1[[#This Row],[Prix option]] - 0.5 * (-50) * (Tableau1[[#This Row],[Prix Action]] - $C$2)</f>
        <v>2385.2540352381798</v>
      </c>
      <c r="H195" s="8">
        <f>Tableau1[[#This Row],[Prix option]]-Tableau1[[#This Row],[D1]]*Tableau1[[#This Row],[Prix Action]]</f>
        <v>-123.6367639097991</v>
      </c>
      <c r="I195" s="9">
        <f t="shared" si="11"/>
        <v>402.61946118923362</v>
      </c>
    </row>
    <row r="196" spans="1:9" x14ac:dyDescent="0.3">
      <c r="A196">
        <v>192</v>
      </c>
      <c r="B196">
        <f t="shared" si="10"/>
        <v>1.230361317821878</v>
      </c>
      <c r="C196">
        <f>Tableau1[[#This Row],[D1]]-$E$2*SQRT($B$2)</f>
        <v>0.33036131782187794</v>
      </c>
      <c r="D196">
        <f>NORMSDIST(Tableau1[[#This Row],[D1]])</f>
        <v>0.89071908403566569</v>
      </c>
      <c r="E196">
        <f>NORMSDIST(Tableau1[[#This Row],[D2]])</f>
        <v>0.62943651691740987</v>
      </c>
      <c r="F196" s="1">
        <f>Tableau1[[#This Row],[Prix Action]]*Tableau1[[#This Row],[Normal(D1)]]-$C$2*EXP(-$A$2*$B$2)*Tableau1[[#This Row],[Normal(D2)]]</f>
        <v>111.14421056013963</v>
      </c>
      <c r="G196" s="1">
        <f xml:space="preserve"> Tableau1[[#This Row],[Prix option]] - 0.5 * (-50) * (Tableau1[[#This Row],[Prix Action]] - $C$2)</f>
        <v>2411.1442105601395</v>
      </c>
      <c r="H196" s="8">
        <f>Tableau1[[#This Row],[Prix option]]-Tableau1[[#This Row],[D1]]*Tableau1[[#This Row],[Prix Action]]</f>
        <v>-125.08516246166094</v>
      </c>
      <c r="I196" s="9">
        <f t="shared" si="11"/>
        <v>406.42521142107859</v>
      </c>
    </row>
    <row r="197" spans="1:9" x14ac:dyDescent="0.3">
      <c r="A197">
        <v>193</v>
      </c>
      <c r="B197">
        <f t="shared" ref="B197:B204" si="12" xml:space="preserve"> (LN($A197/$C$2) + ($A$2 + ($E$2^2)/2) * $B$2) / ($E$2 * SQRT($B$2))</f>
        <v>1.2361333365742155</v>
      </c>
      <c r="C197">
        <f>Tableau1[[#This Row],[D1]]-$E$2*SQRT($B$2)</f>
        <v>0.33613333657421551</v>
      </c>
      <c r="D197">
        <f>NORMSDIST(Tableau1[[#This Row],[D1]])</f>
        <v>0.891795497442045</v>
      </c>
      <c r="E197">
        <f>NORMSDIST(Tableau1[[#This Row],[D2]])</f>
        <v>0.63161483973722721</v>
      </c>
      <c r="F197" s="1">
        <f>Tableau1[[#This Row],[Prix Action]]*Tableau1[[#This Row],[Normal(D1)]]-$C$2*EXP(-$A$2*$B$2)*Tableau1[[#This Row],[Normal(D2)]]</f>
        <v>112.03546895537934</v>
      </c>
      <c r="G197" s="1">
        <f xml:space="preserve"> Tableau1[[#This Row],[Prix option]] - 0.5 * (-50) * (Tableau1[[#This Row],[Prix Action]] - $C$2)</f>
        <v>2437.0354689553792</v>
      </c>
      <c r="H197" s="8">
        <f>Tableau1[[#This Row],[Prix option]]-Tableau1[[#This Row],[D1]]*Tableau1[[#This Row],[Prix Action]]</f>
        <v>-126.53826500344425</v>
      </c>
      <c r="I197" s="9">
        <f t="shared" ref="I197:I204" si="13">$F198-$F197-(H198*$A198-$H197*$A197)</f>
        <v>410.24181461185185</v>
      </c>
    </row>
    <row r="198" spans="1:9" x14ac:dyDescent="0.3">
      <c r="A198">
        <v>194</v>
      </c>
      <c r="B198">
        <f t="shared" si="12"/>
        <v>1.2418755256391518</v>
      </c>
      <c r="C198">
        <f>Tableau1[[#This Row],[D1]]-$E$2*SQRT($B$2)</f>
        <v>0.3418755256391518</v>
      </c>
      <c r="D198">
        <f>NORMSDIST(Tableau1[[#This Row],[D1]])</f>
        <v>0.89285875431546291</v>
      </c>
      <c r="E198">
        <f>NORMSDIST(Tableau1[[#This Row],[D2]])</f>
        <v>0.63377771560518592</v>
      </c>
      <c r="F198" s="1">
        <f>Tableau1[[#This Row],[Prix Action]]*Tableau1[[#This Row],[Normal(D1)]]-$C$2*EXP(-$A$2*$B$2)*Tableau1[[#This Row],[Normal(D2)]]</f>
        <v>112.92779716954999</v>
      </c>
      <c r="G198" s="1">
        <f xml:space="preserve"> Tableau1[[#This Row],[Prix option]] - 0.5 * (-50) * (Tableau1[[#This Row],[Prix Action]] - $C$2)</f>
        <v>2462.9277971695501</v>
      </c>
      <c r="H198" s="8">
        <f>Tableau1[[#This Row],[Prix option]]-Tableau1[[#This Row],[D1]]*Tableau1[[#This Row],[Prix Action]]</f>
        <v>-127.99605480444546</v>
      </c>
      <c r="I198" s="9">
        <f t="shared" si="13"/>
        <v>414.06922638297283</v>
      </c>
    </row>
    <row r="199" spans="1:9" x14ac:dyDescent="0.3">
      <c r="A199">
        <v>195</v>
      </c>
      <c r="B199">
        <f t="shared" si="12"/>
        <v>1.2475881917507283</v>
      </c>
      <c r="C199">
        <f>Tableau1[[#This Row],[D1]]-$E$2*SQRT($B$2)</f>
        <v>0.3475881917507283</v>
      </c>
      <c r="D199">
        <f>NORMSDIST(Tableau1[[#This Row],[D1]])</f>
        <v>0.89390904749959788</v>
      </c>
      <c r="E199">
        <f>NORMSDIST(Tableau1[[#This Row],[D2]])</f>
        <v>0.63592526220848788</v>
      </c>
      <c r="F199" s="1">
        <f>Tableau1[[#This Row],[Prix Action]]*Tableau1[[#This Row],[Normal(D1)]]-$C$2*EXP(-$A$2*$B$2)*Tableau1[[#This Row],[Normal(D2)]]</f>
        <v>113.82118214281704</v>
      </c>
      <c r="G199" s="1">
        <f xml:space="preserve"> Tableau1[[#This Row],[Prix option]] - 0.5 * (-50) * (Tableau1[[#This Row],[Prix Action]] - $C$2)</f>
        <v>2488.8211821428172</v>
      </c>
      <c r="H199" s="8">
        <f>Tableau1[[#This Row],[Prix option]]-Tableau1[[#This Row],[D1]]*Tableau1[[#This Row],[Prix Action]]</f>
        <v>-129.458515248575</v>
      </c>
      <c r="I199" s="9">
        <f t="shared" si="13"/>
        <v>417.90740264410357</v>
      </c>
    </row>
    <row r="200" spans="1:9" x14ac:dyDescent="0.3">
      <c r="A200">
        <v>196</v>
      </c>
      <c r="B200">
        <f t="shared" si="12"/>
        <v>1.2532716369360286</v>
      </c>
      <c r="C200">
        <f>Tableau1[[#This Row],[D1]]-$E$2*SQRT($B$2)</f>
        <v>0.35327163693602859</v>
      </c>
      <c r="D200">
        <f>NORMSDIST(Tableau1[[#This Row],[D1]])</f>
        <v>0.89494656655077098</v>
      </c>
      <c r="E200">
        <f>NORMSDIST(Tableau1[[#This Row],[D2]])</f>
        <v>0.63805759656002836</v>
      </c>
      <c r="F200" s="1">
        <f>Tableau1[[#This Row],[Prix Action]]*Tableau1[[#This Row],[Normal(D1)]]-$C$2*EXP(-$A$2*$B$2)*Tableau1[[#This Row],[Normal(D2)]]</f>
        <v>114.71561100654064</v>
      </c>
      <c r="G200" s="1">
        <f xml:space="preserve"> Tableau1[[#This Row],[Prix option]] - 0.5 * (-50) * (Tableau1[[#This Row],[Prix Action]] - $C$2)</f>
        <v>2514.7156110065407</v>
      </c>
      <c r="H200" s="8">
        <f>Tableau1[[#This Row],[Prix option]]-Tableau1[[#This Row],[D1]]*Tableau1[[#This Row],[Prix Action]]</f>
        <v>-130.92562983292095</v>
      </c>
      <c r="I200" s="9">
        <f t="shared" si="13"/>
        <v>421.75629959118294</v>
      </c>
    </row>
    <row r="201" spans="1:9" x14ac:dyDescent="0.3">
      <c r="A201">
        <v>197</v>
      </c>
      <c r="B201">
        <f t="shared" si="12"/>
        <v>1.2589261586109968</v>
      </c>
      <c r="C201">
        <f>Tableau1[[#This Row],[D1]]-$E$2*SQRT($B$2)</f>
        <v>0.35892615861099675</v>
      </c>
      <c r="D201">
        <f>NORMSDIST(Tableau1[[#This Row],[D1]])</f>
        <v>0.89597149780120089</v>
      </c>
      <c r="E201">
        <f>NORMSDIST(Tableau1[[#This Row],[D2]])</f>
        <v>0.6401748349908275</v>
      </c>
      <c r="F201" s="1">
        <f>Tableau1[[#This Row],[Prix Action]]*Tableau1[[#This Row],[Normal(D1)]]-$C$2*EXP(-$A$2*$B$2)*Tableau1[[#This Row],[Normal(D2)]]</f>
        <v>115.61107108002014</v>
      </c>
      <c r="G201" s="1">
        <f xml:space="preserve"> Tableau1[[#This Row],[Prix option]] - 0.5 * (-50) * (Tableau1[[#This Row],[Prix Action]] - $C$2)</f>
        <v>2540.6110710800203</v>
      </c>
      <c r="H201" s="8">
        <f>Tableau1[[#This Row],[Prix option]]-Tableau1[[#This Row],[D1]]*Tableau1[[#This Row],[Prix Action]]</f>
        <v>-132.39738216634623</v>
      </c>
      <c r="I201" s="9">
        <f t="shared" si="13"/>
        <v>425.61587370423644</v>
      </c>
    </row>
    <row r="202" spans="1:9" x14ac:dyDescent="0.3">
      <c r="A202">
        <v>198</v>
      </c>
      <c r="B202">
        <f t="shared" si="12"/>
        <v>1.2645520496738265</v>
      </c>
      <c r="C202">
        <f>Tableau1[[#This Row],[D1]]-$E$2*SQRT($B$2)</f>
        <v>0.36455204967382648</v>
      </c>
      <c r="D202">
        <f>NORMSDIST(Tableau1[[#This Row],[D1]])</f>
        <v>0.89698402442092995</v>
      </c>
      <c r="E202">
        <f>NORMSDIST(Tableau1[[#This Row],[D2]])</f>
        <v>0.64227709314302883</v>
      </c>
      <c r="F202" s="1">
        <f>Tableau1[[#This Row],[Prix Action]]*Tableau1[[#This Row],[Normal(D1)]]-$C$2*EXP(-$A$2*$B$2)*Tableau1[[#This Row],[Normal(D2)]]</f>
        <v>116.50754986730065</v>
      </c>
      <c r="G202" s="1">
        <f xml:space="preserve"> Tableau1[[#This Row],[Prix option]] - 0.5 * (-50) * (Tableau1[[#This Row],[Prix Action]] - $C$2)</f>
        <v>2566.5075498673004</v>
      </c>
      <c r="H202" s="8">
        <f>Tableau1[[#This Row],[Prix option]]-Tableau1[[#This Row],[D1]]*Tableau1[[#This Row],[Prix Action]]</f>
        <v>-133.873755968117</v>
      </c>
      <c r="I202" s="9">
        <f t="shared" si="13"/>
        <v>429.48608174550333</v>
      </c>
    </row>
    <row r="203" spans="1:9" x14ac:dyDescent="0.3">
      <c r="A203">
        <v>199</v>
      </c>
      <c r="B203">
        <f t="shared" si="12"/>
        <v>1.270149598596001</v>
      </c>
      <c r="C203">
        <f>Tableau1[[#This Row],[D1]]-$E$2*SQRT($B$2)</f>
        <v>0.37014959859600094</v>
      </c>
      <c r="D203">
        <f>NORMSDIST(Tableau1[[#This Row],[D1]])</f>
        <v>0.89798432647845183</v>
      </c>
      <c r="E203">
        <f>NORMSDIST(Tableau1[[#This Row],[D2]])</f>
        <v>0.64436448596344043</v>
      </c>
      <c r="F203" s="1">
        <f>Tableau1[[#This Row],[Prix Action]]*Tableau1[[#This Row],[Normal(D1)]]-$C$2*EXP(-$A$2*$B$2)*Tableau1[[#This Row],[Normal(D2)]]</f>
        <v>117.40503505404175</v>
      </c>
      <c r="G203" s="1">
        <f xml:space="preserve"> Tableau1[[#This Row],[Prix option]] - 0.5 * (-50) * (Tableau1[[#This Row],[Prix Action]] - $C$2)</f>
        <v>2592.4050350540419</v>
      </c>
      <c r="H203" s="8">
        <f>Tableau1[[#This Row],[Prix option]]-Tableau1[[#This Row],[D1]]*Tableau1[[#This Row],[Prix Action]]</f>
        <v>-135.35473506656245</v>
      </c>
      <c r="I203" s="9">
        <f t="shared" si="13"/>
        <v>433.36688075740369</v>
      </c>
    </row>
    <row r="204" spans="1:9" x14ac:dyDescent="0.3">
      <c r="A204">
        <v>200</v>
      </c>
      <c r="B204">
        <f t="shared" si="12"/>
        <v>1.2757190895110502</v>
      </c>
      <c r="C204">
        <f>Tableau1[[#This Row],[D1]]-$E$2*SQRT($B$2)</f>
        <v>0.37571908951105015</v>
      </c>
      <c r="D204">
        <f>NORMSDIST(Tableau1[[#This Row],[D1]])</f>
        <v>0.89897258100006705</v>
      </c>
      <c r="E204">
        <f>NORMSDIST(Tableau1[[#This Row],[D2]])</f>
        <v>0.64643712769759754</v>
      </c>
      <c r="F204" s="1">
        <f>Tableau1[[#This Row],[Prix Action]]*Tableau1[[#This Row],[Normal(D1)]]-$C$2*EXP(-$A$2*$B$2)*Tableau1[[#This Row],[Normal(D2)]]</f>
        <v>118.30351450444539</v>
      </c>
      <c r="G204" s="1">
        <f xml:space="preserve"> Tableau1[[#This Row],[Prix option]] - 0.5 * (-50) * (Tableau1[[#This Row],[Prix Action]] - $C$2)</f>
        <v>2618.3035145044455</v>
      </c>
      <c r="H204" s="8">
        <f>Tableau1[[#This Row],[Prix option]]-Tableau1[[#This Row],[D1]]*Tableau1[[#This Row],[Prix Action]]</f>
        <v>-136.84030339776464</v>
      </c>
      <c r="I204" s="9">
        <f t="shared" si="13"/>
        <v>-27486.364194057373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Profil Action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Robard</dc:creator>
  <cp:lastModifiedBy>Matteo Dabout</cp:lastModifiedBy>
  <dcterms:created xsi:type="dcterms:W3CDTF">2025-10-02T09:02:32Z</dcterms:created>
  <dcterms:modified xsi:type="dcterms:W3CDTF">2025-10-16T10:49:38Z</dcterms:modified>
</cp:coreProperties>
</file>